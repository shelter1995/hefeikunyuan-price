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555" tabRatio="600" firstSheet="0" activeTab="1" autoFilterDateGrouping="1"/>
  </bookViews>
  <sheets>
    <sheet xmlns:r="http://schemas.openxmlformats.org/officeDocument/2006/relationships" name="报价表" sheetId="1" state="visible" r:id="rId1"/>
    <sheet xmlns:r="http://schemas.openxmlformats.org/officeDocument/2006/relationships" name="徐钢" sheetId="2" state="visible" r:id="rId2"/>
    <sheet xmlns:r="http://schemas.openxmlformats.org/officeDocument/2006/relationships" name="金虹" sheetId="3" state="visible" r:id="rId3"/>
    <sheet xmlns:r="http://schemas.openxmlformats.org/officeDocument/2006/relationships" name="鄂钢" sheetId="4" state="visible" r:id="rId4"/>
    <sheet xmlns:r="http://schemas.openxmlformats.org/officeDocument/2006/relationships" name="闽源" sheetId="5" state="visible" r:id="rId5"/>
    <sheet xmlns:r="http://schemas.openxmlformats.org/officeDocument/2006/relationships" name="贵航" sheetId="6" state="visible" r:id="rId6"/>
    <sheet xmlns:r="http://schemas.openxmlformats.org/officeDocument/2006/relationships" name="萍钢" sheetId="7" state="visible" r:id="rId7"/>
    <sheet xmlns:r="http://schemas.openxmlformats.org/officeDocument/2006/relationships" name="金安" sheetId="8" state="hidden" r:id="rId8"/>
    <sheet xmlns:r="http://schemas.openxmlformats.org/officeDocument/2006/relationships" name="长江" sheetId="9" state="visible" r:id="rId9"/>
    <sheet xmlns:r="http://schemas.openxmlformats.org/officeDocument/2006/relationships" name="桂鑫" sheetId="10" state="visible" r:id="rId10"/>
    <sheet xmlns:r="http://schemas.openxmlformats.org/officeDocument/2006/relationships" name="南钢" sheetId="11" state="visible" r:id="rId11"/>
    <sheet xmlns:r="http://schemas.openxmlformats.org/officeDocument/2006/relationships" name="淮南宏泰" sheetId="12" state="hidden" r:id="rId12"/>
    <sheet xmlns:r="http://schemas.openxmlformats.org/officeDocument/2006/relationships" name="马钢" sheetId="13" state="visible" r:id="rId13"/>
    <sheet xmlns:r="http://schemas.openxmlformats.org/officeDocument/2006/relationships" name="六钢" sheetId="14" state="visible" r:id="rId14"/>
    <sheet xmlns:r="http://schemas.openxmlformats.org/officeDocument/2006/relationships" name="中天" sheetId="15" state="visible" r:id="rId15"/>
    <sheet xmlns:r="http://schemas.openxmlformats.org/officeDocument/2006/relationships" name="新兴铸管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m&quot;月&quot;d&quot;日&quot;;@"/>
  </numFmts>
  <fonts count="57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Microsoft YaHei"/>
      <charset val="134"/>
      <b val="1"/>
      <sz val="10"/>
    </font>
    <font>
      <name val="微软雅黑"/>
      <charset val="134"/>
      <sz val="10"/>
    </font>
    <font>
      <name val="Microsoft YaHei"/>
      <charset val="134"/>
      <b val="1"/>
      <sz val="11"/>
    </font>
    <font>
      <name val="宋体"/>
      <charset val="134"/>
      <color rgb="FFFF0000"/>
      <sz val="12"/>
    </font>
    <font>
      <name val="宋体"/>
      <charset val="134"/>
      <b val="1"/>
      <sz val="11"/>
    </font>
    <font>
      <name val="Microsoft YaHei"/>
      <charset val="134"/>
      <sz val="10"/>
    </font>
    <font>
      <name val="宋体"/>
      <charset val="134"/>
      <color rgb="FF7030A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FF0000"/>
      <sz val="11"/>
      <scheme val="minor"/>
    </font>
    <font>
      <name val="宋体"/>
      <charset val="134"/>
      <color rgb="FF000000"/>
      <sz val="12"/>
    </font>
    <font>
      <name val="宋体"/>
      <charset val="134"/>
      <color rgb="FF00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rgb="FF7030A0"/>
      <sz val="12"/>
    </font>
    <font>
      <name val="宋体"/>
      <charset val="134"/>
      <sz val="11"/>
      <scheme val="minor"/>
    </font>
    <font>
      <name val="宋体"/>
      <charset val="134"/>
      <color rgb="FF7030A0"/>
      <sz val="11"/>
    </font>
    <font>
      <name val="宋体"/>
      <charset val="134"/>
      <color rgb="FF7030A0"/>
      <sz val="10"/>
      <scheme val="minor"/>
    </font>
    <font>
      <name val="宋体"/>
      <charset val="134"/>
      <color rgb="FF7030A0"/>
      <sz val="10"/>
    </font>
    <font>
      <name val="宋体"/>
      <charset val="134"/>
      <b val="1"/>
      <color rgb="FFFF0000"/>
      <sz val="10"/>
    </font>
    <font>
      <name val="宋体"/>
      <charset val="134"/>
      <b val="1"/>
      <color rgb="FFFF0000"/>
      <sz val="11"/>
    </font>
    <font>
      <name val="Microsoft YaHei"/>
      <charset val="134"/>
      <b val="1"/>
      <color rgb="FFFF0000"/>
      <sz val="10"/>
    </font>
    <font>
      <name val="宋体"/>
      <charset val="134"/>
      <color rgb="FF7030A0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</font>
    <font>
      <name val="宋体"/>
      <charset val="134"/>
      <color rgb="FFFF0000"/>
      <sz val="10"/>
    </font>
    <font>
      <name val="宋体"/>
      <charset val="134"/>
      <color rgb="FFFF0000"/>
      <sz val="10"/>
      <scheme val="minor"/>
    </font>
    <font>
      <name val="宋体"/>
      <charset val="134"/>
      <color indexed="8"/>
      <sz val="11"/>
    </font>
    <font>
      <name val="宋体"/>
      <charset val="134"/>
      <b val="1"/>
      <sz val="10"/>
      <scheme val="minor"/>
    </font>
    <font>
      <name val="宋体"/>
      <charset val="134"/>
      <b val="1"/>
      <color rgb="FF7030A0"/>
      <sz val="10"/>
    </font>
    <font>
      <name val="SimSun"/>
      <charset val="134"/>
      <sz val="18"/>
    </font>
    <font>
      <name val="宋体"/>
      <charset val="134"/>
      <color theme="1"/>
      <sz val="12"/>
    </font>
    <font>
      <name val="SimSun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000000"/>
      <sz val="12"/>
    </font>
  </fonts>
  <fills count="4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0" fillId="14" borderId="23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24" applyAlignment="1">
      <alignment vertical="center"/>
    </xf>
    <xf numFmtId="0" fontId="43" fillId="0" borderId="24" applyAlignment="1">
      <alignment vertical="center"/>
    </xf>
    <xf numFmtId="0" fontId="44" fillId="0" borderId="25" applyAlignment="1">
      <alignment vertical="center"/>
    </xf>
    <xf numFmtId="0" fontId="44" fillId="0" borderId="0" applyAlignment="1">
      <alignment vertical="center"/>
    </xf>
    <xf numFmtId="0" fontId="45" fillId="15" borderId="26" applyAlignment="1">
      <alignment vertical="center"/>
    </xf>
    <xf numFmtId="0" fontId="46" fillId="16" borderId="27" applyAlignment="1">
      <alignment vertical="center"/>
    </xf>
    <xf numFmtId="0" fontId="47" fillId="16" borderId="26" applyAlignment="1">
      <alignment vertical="center"/>
    </xf>
    <xf numFmtId="0" fontId="48" fillId="17" borderId="28" applyAlignment="1">
      <alignment vertical="center"/>
    </xf>
    <xf numFmtId="0" fontId="49" fillId="0" borderId="29" applyAlignment="1">
      <alignment vertical="center"/>
    </xf>
    <xf numFmtId="0" fontId="50" fillId="0" borderId="3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3" fillId="20" borderId="0" applyAlignment="1">
      <alignment vertical="center"/>
    </xf>
    <xf numFmtId="0" fontId="54" fillId="21" borderId="0" applyAlignment="1">
      <alignment vertical="center"/>
    </xf>
    <xf numFmtId="0" fontId="55" fillId="22" borderId="0" applyAlignment="1">
      <alignment vertical="center"/>
    </xf>
    <xf numFmtId="0" fontId="55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55" fillId="26" borderId="0" applyAlignment="1">
      <alignment vertical="center"/>
    </xf>
    <xf numFmtId="0" fontId="55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5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55" fillId="34" borderId="0" applyAlignment="1">
      <alignment vertical="center"/>
    </xf>
    <xf numFmtId="0" fontId="55" fillId="35" borderId="0" applyAlignment="1">
      <alignment vertical="center"/>
    </xf>
    <xf numFmtId="0" fontId="54" fillId="36" borderId="0" applyAlignment="1">
      <alignment vertical="center"/>
    </xf>
    <xf numFmtId="0" fontId="54" fillId="37" borderId="0" applyAlignment="1">
      <alignment vertical="center"/>
    </xf>
    <xf numFmtId="0" fontId="55" fillId="38" borderId="0" applyAlignment="1">
      <alignment vertical="center"/>
    </xf>
    <xf numFmtId="0" fontId="55" fillId="39" borderId="0" applyAlignment="1">
      <alignment vertical="center"/>
    </xf>
    <xf numFmtId="0" fontId="54" fillId="40" borderId="0" applyAlignment="1">
      <alignment vertical="center"/>
    </xf>
    <xf numFmtId="0" fontId="54" fillId="41" borderId="0" applyAlignment="1">
      <alignment vertical="center"/>
    </xf>
    <xf numFmtId="0" fontId="55" fillId="42" borderId="0" applyAlignment="1">
      <alignment vertical="center"/>
    </xf>
    <xf numFmtId="0" fontId="55" fillId="43" borderId="0" applyAlignment="1">
      <alignment vertical="center"/>
    </xf>
    <xf numFmtId="0" fontId="54" fillId="44" borderId="0" applyAlignment="1">
      <alignment vertical="center"/>
    </xf>
  </cellStyleXfs>
  <cellXfs count="5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2" fillId="0" borderId="5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7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0" borderId="5" pivotButton="0" quotePrefix="0" xfId="0"/>
    <xf numFmtId="0" fontId="19" fillId="0" borderId="1" pivotButton="0" quotePrefix="0" xfId="0"/>
    <xf numFmtId="0" fontId="4" fillId="7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1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 wrapText="1"/>
    </xf>
    <xf numFmtId="0" fontId="5" fillId="7" borderId="0" pivotButton="0" quotePrefix="0" xfId="0"/>
    <xf numFmtId="0" fontId="1" fillId="0" borderId="0" pivotButton="0" quotePrefix="0" xfId="0"/>
    <xf numFmtId="0" fontId="5" fillId="7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 wrapText="1"/>
    </xf>
    <xf numFmtId="0" fontId="19" fillId="0" borderId="12" pivotButton="0" quotePrefix="0" xfId="0"/>
    <xf numFmtId="0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6" fillId="6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2" fillId="4" borderId="17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1" fillId="2" borderId="0" pivotButton="0" quotePrefix="0" xfId="0"/>
    <xf numFmtId="165" fontId="4" fillId="9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9" fillId="0" borderId="7" pivotButton="0" quotePrefix="0" xfId="0"/>
    <xf numFmtId="0" fontId="5" fillId="10" borderId="0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27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27" fillId="9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7" fillId="0" borderId="5" applyAlignment="1" pivotButton="0" quotePrefix="0" xfId="0">
      <alignment horizontal="center" vertical="center"/>
    </xf>
    <xf numFmtId="0" fontId="3" fillId="11" borderId="17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5" fillId="10" borderId="5" applyAlignment="1" pivotButton="0" quotePrefix="0" xfId="0">
      <alignment vertical="center"/>
    </xf>
    <xf numFmtId="0" fontId="9" fillId="9" borderId="18" applyAlignment="1" pivotButton="0" quotePrefix="0" xfId="0">
      <alignment horizontal="center" vertical="center"/>
    </xf>
    <xf numFmtId="0" fontId="5" fillId="12" borderId="0" pivotButton="0" quotePrefix="0" xfId="0"/>
    <xf numFmtId="0" fontId="5" fillId="12" borderId="0" applyAlignment="1" pivotButton="0" quotePrefix="0" xfId="0">
      <alignment vertical="center"/>
    </xf>
    <xf numFmtId="0" fontId="2" fillId="4" borderId="5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8" fillId="4" borderId="5" applyAlignment="1" pivotButton="0" quotePrefix="0" xfId="0">
      <alignment horizontal="center" vertical="center"/>
    </xf>
    <xf numFmtId="0" fontId="19" fillId="3" borderId="5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165" fontId="18" fillId="9" borderId="5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1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2" fillId="11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9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19" fillId="0" borderId="14" pivotButton="0" quotePrefix="0" xfId="0"/>
    <xf numFmtId="0" fontId="4" fillId="9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9" fillId="0" borderId="13" pivotButton="0" quotePrefix="0" xfId="0"/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5" fillId="0" borderId="5" pivotButton="0" quotePrefix="0" xfId="0"/>
    <xf numFmtId="0" fontId="5" fillId="9" borderId="5" pivotButton="0" quotePrefix="0" xfId="0"/>
    <xf numFmtId="0" fontId="5" fillId="0" borderId="1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4" fillId="12" borderId="5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5" fillId="10" borderId="0" applyAlignment="1" pivotButton="0" quotePrefix="0" xfId="0">
      <alignment vertical="center"/>
    </xf>
    <xf numFmtId="0" fontId="3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9" fillId="12" borderId="5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165" fontId="13" fillId="9" borderId="1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19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19" fillId="0" borderId="9" pivotButton="0" quotePrefix="0" xfId="0"/>
    <xf numFmtId="0" fontId="5" fillId="4" borderId="1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/>
    </xf>
    <xf numFmtId="0" fontId="27" fillId="10" borderId="5" applyAlignment="1" pivotButton="0" quotePrefix="0" xfId="0">
      <alignment horizontal="center" vertical="center"/>
    </xf>
    <xf numFmtId="0" fontId="28" fillId="3" borderId="5" applyAlignment="1" pivotButton="0" quotePrefix="0" xfId="0">
      <alignment horizontal="center" vertical="center"/>
    </xf>
    <xf numFmtId="0" fontId="3" fillId="9" borderId="17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/>
    </xf>
    <xf numFmtId="0" fontId="11" fillId="9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 wrapText="1"/>
    </xf>
    <xf numFmtId="0" fontId="9" fillId="9" borderId="19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19" fillId="9" borderId="13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8" fillId="9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33" fillId="9" borderId="5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29" fillId="3" borderId="5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9" fillId="9" borderId="5" applyAlignment="1" pivotButton="0" quotePrefix="0" xfId="0">
      <alignment horizontal="center" vertical="center" wrapText="1"/>
    </xf>
    <xf numFmtId="0" fontId="29" fillId="0" borderId="20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19" fillId="9" borderId="5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2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165" fontId="18" fillId="11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0" fontId="18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 wrapText="1"/>
    </xf>
    <xf numFmtId="0" fontId="21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 wrapText="1"/>
    </xf>
    <xf numFmtId="0" fontId="21" fillId="10" borderId="5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0" fontId="25" fillId="9" borderId="5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 wrapText="1"/>
    </xf>
    <xf numFmtId="0" fontId="9" fillId="9" borderId="1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3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19" fillId="0" borderId="20" applyAlignment="1" pivotButton="0" quotePrefix="0" xfId="0">
      <alignment vertical="center"/>
    </xf>
    <xf numFmtId="0" fontId="34" fillId="0" borderId="5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/>
    </xf>
    <xf numFmtId="0" fontId="5" fillId="0" borderId="18" pivotButton="0" quotePrefix="0" xfId="0"/>
    <xf numFmtId="0" fontId="5" fillId="0" borderId="11" pivotButton="0" quotePrefix="0" xfId="0"/>
    <xf numFmtId="0" fontId="35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34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34" fillId="0" borderId="5" applyAlignment="1" pivotButton="0" quotePrefix="0" xfId="0">
      <alignment vertical="center"/>
    </xf>
    <xf numFmtId="0" fontId="34" fillId="0" borderId="5" applyAlignment="1" pivotButton="0" quotePrefix="0" xfId="0">
      <alignment horizontal="left" vertical="center"/>
    </xf>
    <xf numFmtId="0" fontId="3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/>
    </xf>
    <xf numFmtId="0" fontId="31" fillId="0" borderId="1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pivotButton="0" quotePrefix="0" xfId="0"/>
    <xf numFmtId="0" fontId="5" fillId="0" borderId="1" pivotButton="0" quotePrefix="0" xfId="0"/>
    <xf numFmtId="0" fontId="3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164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18" fillId="11" borderId="5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5" fontId="18" fillId="9" borderId="5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报价表">
    <outlinePr summaryBelow="1" summaryRight="1"/>
    <pageSetUpPr/>
  </sheetPr>
  <dimension ref="A1:CC200"/>
  <sheetViews>
    <sheetView workbookViewId="0">
      <selection activeCell="H8" sqref="H8"/>
    </sheetView>
  </sheetViews>
  <sheetFormatPr baseColWidth="8" defaultColWidth="9" defaultRowHeight="13.5"/>
  <cols>
    <col width="6" customWidth="1" style="526" min="1" max="2"/>
    <col width="7.75" customWidth="1" style="526" min="3" max="3"/>
    <col width="12.75" customWidth="1" style="526" min="4" max="4"/>
    <col width="10.875" customWidth="1" style="419" min="5" max="5"/>
    <col width="10.875" customWidth="1" style="526" min="6" max="6"/>
    <col width="9.875" customWidth="1" style="525" min="7" max="7"/>
    <col width="8.75" customWidth="1" style="525" min="8" max="8"/>
    <col width="6.875" customWidth="1" style="525" min="9" max="9"/>
    <col width="7.35833333333333" customWidth="1" style="421" min="10" max="10"/>
    <col hidden="1" width="7" customWidth="1" style="525" min="11" max="14"/>
    <col width="11.25" customWidth="1" style="526" min="15" max="15"/>
    <col width="5.625" customWidth="1" style="525" min="16" max="16"/>
    <col width="6.75" customWidth="1" style="525" min="17" max="17"/>
    <col width="6.125" customWidth="1" style="525" min="18" max="18"/>
    <col width="6.625" customWidth="1" style="525" min="19" max="19"/>
    <col width="5.64166666666667" customWidth="1" style="525" min="20" max="20"/>
    <col width="6.125" customWidth="1" style="525" min="21" max="22"/>
    <col width="5.26666666666667" customWidth="1" style="525" min="23" max="23"/>
    <col hidden="1" width="0.125" customWidth="1" style="525" min="24" max="24"/>
    <col hidden="1" width="6.125" customWidth="1" style="525" min="25" max="26"/>
    <col hidden="1" width="6.875" customWidth="1" style="525" min="27" max="27"/>
    <col hidden="1" width="6.125" customWidth="1" style="525" min="28" max="29"/>
    <col width="6.125" customWidth="1" style="525" min="30" max="31"/>
    <col width="5.625" customWidth="1" style="525" min="32" max="35"/>
    <col width="6.125" customWidth="1" style="525" min="36" max="36"/>
    <col width="5.75" customWidth="1" style="525" min="37" max="37"/>
    <col width="6.125" customWidth="1" style="525" min="38" max="40"/>
    <col width="5.625" customWidth="1" style="525" min="41" max="41"/>
    <col width="5.75" customWidth="1" style="525" min="42" max="42"/>
    <col width="5.625" customWidth="1" style="525" min="43" max="43"/>
    <col width="6.75" customWidth="1" style="525" min="44" max="44"/>
    <col width="5.875" customWidth="1" style="525" min="45" max="45"/>
    <col width="6.125" customWidth="1" style="525" min="46" max="46"/>
    <col width="5.625" customWidth="1" style="525" min="47" max="47"/>
    <col width="6.125" customWidth="1" style="525" min="48" max="50"/>
    <col width="5.625" customWidth="1" style="525" min="51" max="53"/>
    <col hidden="1" width="5.625" customWidth="1" style="525" min="54" max="67"/>
    <col hidden="1" width="6.75" customWidth="1" style="525" min="68" max="68"/>
    <col hidden="1" width="5.875" customWidth="1" style="525" min="69" max="69"/>
    <col hidden="1" width="6.125" customWidth="1" style="525" min="70" max="70"/>
    <col hidden="1" width="5.625" customWidth="1" style="525" min="71" max="71"/>
    <col hidden="1" width="6.125" customWidth="1" style="525" min="72" max="73"/>
    <col hidden="1" width="6.125" customWidth="1" style="498" min="74" max="74"/>
    <col hidden="1" width="6.125" customWidth="1" style="423" min="75" max="75"/>
    <col hidden="1" width="6.125" customWidth="1" style="498" min="76" max="76"/>
    <col hidden="1" width="6.125" customWidth="1" style="423" min="77" max="77"/>
    <col hidden="1" width="6.125" customWidth="1" style="498" min="78" max="78"/>
    <col hidden="1" width="5.625" customWidth="1" style="498" min="79" max="81"/>
    <col width="9" customWidth="1" style="424" min="82" max="16384"/>
  </cols>
  <sheetData>
    <row r="1" ht="16.5" customHeight="1" s="527">
      <c r="A1" s="466" t="inlineStr">
        <is>
          <t xml:space="preserve">合肥鲲源贸易有限公司钢材报价单 </t>
        </is>
      </c>
      <c r="B1" s="528" t="n"/>
      <c r="C1" s="528" t="n"/>
      <c r="D1" s="528" t="n"/>
      <c r="E1" s="529" t="n"/>
      <c r="F1" s="428" t="inlineStr">
        <is>
          <t>预备发货厂家</t>
        </is>
      </c>
      <c r="G1" s="528" t="n"/>
      <c r="H1" s="528" t="n"/>
      <c r="I1" s="528" t="n"/>
      <c r="J1" s="528" t="n"/>
      <c r="K1" s="528" t="n"/>
      <c r="L1" s="528" t="n"/>
      <c r="M1" s="529" t="n"/>
      <c r="N1" s="429" t="n"/>
      <c r="O1" s="448" t="inlineStr">
        <is>
          <t>钢厂</t>
        </is>
      </c>
      <c r="P1" s="450" t="inlineStr">
        <is>
          <t>徐钢</t>
        </is>
      </c>
      <c r="Q1" s="530" t="n"/>
      <c r="R1" s="450" t="inlineStr">
        <is>
          <t>闽源</t>
        </is>
      </c>
      <c r="S1" s="530" t="n"/>
      <c r="T1" s="454" t="inlineStr">
        <is>
          <t>马长江</t>
        </is>
      </c>
      <c r="U1" s="531" t="n"/>
      <c r="V1" s="531" t="n"/>
      <c r="W1" s="531" t="n"/>
      <c r="X1" s="531" t="n"/>
      <c r="Y1" s="531" t="n"/>
      <c r="Z1" s="531" t="n"/>
      <c r="AA1" s="530" t="n"/>
      <c r="AB1" s="437" t="n"/>
      <c r="AC1" s="437" t="n"/>
      <c r="AD1" s="450" t="inlineStr">
        <is>
          <t>金虹</t>
        </is>
      </c>
      <c r="AE1" s="530" t="n"/>
      <c r="AF1" s="438" t="inlineStr">
        <is>
          <t>南钢</t>
        </is>
      </c>
      <c r="AH1" s="438" t="inlineStr">
        <is>
          <t>鄂钢</t>
        </is>
      </c>
      <c r="AJ1" s="450" t="inlineStr">
        <is>
          <t>贵航</t>
        </is>
      </c>
      <c r="AK1" s="530" t="n"/>
      <c r="AL1" s="450" t="inlineStr">
        <is>
          <t>萍钢</t>
        </is>
      </c>
      <c r="AM1" s="530" t="n"/>
      <c r="AN1" s="450" t="inlineStr">
        <is>
          <t>桂鑫</t>
        </is>
      </c>
      <c r="AO1" s="530" t="n"/>
      <c r="AP1" s="438" t="inlineStr">
        <is>
          <t>金安</t>
        </is>
      </c>
      <c r="AR1" s="450" t="inlineStr">
        <is>
          <t>马钢</t>
        </is>
      </c>
      <c r="AS1" s="530" t="n"/>
      <c r="AT1" s="450" t="inlineStr">
        <is>
          <t>中天</t>
        </is>
      </c>
      <c r="AU1" s="530" t="n"/>
      <c r="AV1" s="445" t="inlineStr">
        <is>
          <t>六钢</t>
        </is>
      </c>
      <c r="AW1" s="448" t="n"/>
      <c r="AX1" s="441" t="inlineStr">
        <is>
          <t>新兴铸管</t>
        </is>
      </c>
      <c r="AY1" s="531" t="n"/>
      <c r="AZ1" s="531" t="n"/>
      <c r="BA1" s="531" t="n"/>
      <c r="BB1" s="438" t="n"/>
      <c r="BC1" s="438" t="n"/>
      <c r="BD1" s="438" t="n"/>
      <c r="BE1" s="438" t="n"/>
      <c r="BF1" s="438" t="n"/>
      <c r="BG1" s="438" t="n"/>
      <c r="BH1" s="438" t="n"/>
      <c r="BI1" s="438" t="n"/>
      <c r="BJ1" s="438" t="n"/>
      <c r="BK1" s="438" t="n"/>
      <c r="BL1" s="438" t="n"/>
      <c r="BM1" s="438" t="n"/>
      <c r="BN1" s="438" t="n"/>
      <c r="BO1" s="438" t="n"/>
      <c r="BP1" s="450" t="inlineStr">
        <is>
          <t>马钢</t>
        </is>
      </c>
      <c r="BQ1" s="530" t="n"/>
      <c r="BR1" s="441" t="inlineStr">
        <is>
          <t>中天</t>
        </is>
      </c>
      <c r="BS1" s="448" t="n"/>
      <c r="BT1" s="445" t="inlineStr">
        <is>
          <t>六钢</t>
        </is>
      </c>
      <c r="BU1" s="449" t="n"/>
      <c r="BV1" s="450" t="inlineStr">
        <is>
          <t>萍钢</t>
        </is>
      </c>
      <c r="BW1" s="441" t="n"/>
      <c r="BX1" s="450" t="n"/>
      <c r="BY1" s="441" t="n"/>
      <c r="BZ1" s="450" t="inlineStr">
        <is>
          <t>新兴铸管</t>
        </is>
      </c>
      <c r="CA1" s="450" t="n"/>
      <c r="CB1" s="450" t="n"/>
      <c r="CC1" s="450" t="n"/>
    </row>
    <row r="2" ht="18" customHeight="1" s="527">
      <c r="A2" s="532" t="n"/>
      <c r="E2" s="533" t="n"/>
      <c r="F2" s="532" t="n"/>
      <c r="M2" s="533" t="n"/>
      <c r="N2" s="429" t="n"/>
      <c r="O2" s="453" t="inlineStr">
        <is>
          <t>高线10基价</t>
        </is>
      </c>
      <c r="P2" s="450">
        <f>徐钢!H2</f>
        <v/>
      </c>
      <c r="Q2" s="450">
        <f>徐钢!I2</f>
        <v/>
      </c>
      <c r="R2" s="450">
        <f>闽源!H2</f>
        <v/>
      </c>
      <c r="S2" s="450">
        <f>闽源!I2</f>
        <v/>
      </c>
      <c r="T2" s="454">
        <f>长江!H2</f>
        <v/>
      </c>
      <c r="U2" s="454">
        <f>长江!I2</f>
        <v/>
      </c>
      <c r="V2" s="454">
        <f>长江!J2</f>
        <v/>
      </c>
      <c r="W2" s="454">
        <f>长江!K2</f>
        <v/>
      </c>
      <c r="X2" s="454">
        <f>长江!L2</f>
        <v/>
      </c>
      <c r="Y2" s="454">
        <f>长江!M2</f>
        <v/>
      </c>
      <c r="Z2" s="454">
        <f>长江!N2</f>
        <v/>
      </c>
      <c r="AA2" s="454">
        <f>长江!O2</f>
        <v/>
      </c>
      <c r="AB2" s="504">
        <f>萍钢!J2</f>
        <v/>
      </c>
      <c r="AC2" s="504">
        <f>萍钢!K2</f>
        <v/>
      </c>
      <c r="AD2" s="450">
        <f>金虹!H2</f>
        <v/>
      </c>
      <c r="AE2" s="450">
        <f>金虹!I2</f>
        <v/>
      </c>
      <c r="AF2" s="450">
        <f>南钢!H2</f>
        <v/>
      </c>
      <c r="AG2" s="441">
        <f>南钢!I2</f>
        <v/>
      </c>
      <c r="AH2" s="450">
        <f>鄂钢!H2</f>
        <v/>
      </c>
      <c r="AI2" s="450">
        <f>鄂钢!I2</f>
        <v/>
      </c>
      <c r="AJ2" s="450">
        <f>贵航!H2</f>
        <v/>
      </c>
      <c r="AK2" s="450">
        <f>贵航!I2</f>
        <v/>
      </c>
      <c r="AL2" s="504">
        <f>萍钢!H2</f>
        <v/>
      </c>
      <c r="AM2" s="504">
        <f>萍钢!I2</f>
        <v/>
      </c>
      <c r="AN2" s="450">
        <f>桂鑫!H2</f>
        <v/>
      </c>
      <c r="AO2" s="450">
        <f>桂鑫!I2</f>
        <v/>
      </c>
      <c r="AP2" s="504">
        <f>金安!G2</f>
        <v/>
      </c>
      <c r="AQ2" s="504">
        <f>金安!H2</f>
        <v/>
      </c>
      <c r="AR2" s="456">
        <f>马钢!H2</f>
        <v/>
      </c>
      <c r="AS2" s="456">
        <f>马钢!I2</f>
        <v/>
      </c>
      <c r="AT2" s="450">
        <f>中天!H2</f>
        <v/>
      </c>
      <c r="AU2" s="450">
        <f>中天!I2</f>
        <v/>
      </c>
      <c r="AV2" s="457" t="n">
        <v>0</v>
      </c>
      <c r="AW2" s="457" t="n">
        <v>0</v>
      </c>
      <c r="AX2" s="450">
        <f>新兴铸管!H2</f>
        <v/>
      </c>
      <c r="AY2" s="450">
        <f>新兴铸管!I2</f>
        <v/>
      </c>
      <c r="AZ2" s="450">
        <f>新兴铸管!J2</f>
        <v/>
      </c>
      <c r="BA2" s="441">
        <f>新兴铸管!K2</f>
        <v/>
      </c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56">
        <f>马钢!T2</f>
        <v/>
      </c>
      <c r="BQ2" s="456">
        <f>马钢!U2</f>
        <v/>
      </c>
      <c r="BR2" s="450" t="n">
        <v>0</v>
      </c>
      <c r="BS2" s="450" t="inlineStr">
        <is>
          <t>/</t>
        </is>
      </c>
      <c r="BT2" s="457" t="n">
        <v>0</v>
      </c>
      <c r="BU2" s="445" t="n">
        <v>0</v>
      </c>
      <c r="BV2" s="457" t="n">
        <v>0</v>
      </c>
      <c r="BW2" s="445" t="n">
        <v>0</v>
      </c>
      <c r="BX2" s="457" t="n">
        <v>0</v>
      </c>
      <c r="BY2" s="445" t="n">
        <v>0</v>
      </c>
      <c r="BZ2" s="457" t="n">
        <v>0</v>
      </c>
      <c r="CA2" s="457" t="inlineStr">
        <is>
          <t>/</t>
        </is>
      </c>
      <c r="CB2" s="457" t="n">
        <v>0</v>
      </c>
      <c r="CC2" s="457" t="inlineStr">
        <is>
          <t>/</t>
        </is>
      </c>
    </row>
    <row r="3" ht="18" customHeight="1" s="527">
      <c r="A3" s="534" t="n"/>
      <c r="B3" s="535" t="n"/>
      <c r="C3" s="535" t="n"/>
      <c r="D3" s="535" t="n"/>
      <c r="E3" s="536" t="n"/>
      <c r="F3" s="534" t="n"/>
      <c r="G3" s="535" t="n"/>
      <c r="H3" s="535" t="n"/>
      <c r="I3" s="535" t="n"/>
      <c r="J3" s="535" t="n"/>
      <c r="K3" s="535" t="n"/>
      <c r="L3" s="535" t="n"/>
      <c r="M3" s="536" t="n"/>
      <c r="N3" s="461" t="n"/>
      <c r="O3" s="462" t="inlineStr">
        <is>
          <t>盘螺10基价</t>
        </is>
      </c>
      <c r="P3" s="450">
        <f>徐钢!H3</f>
        <v/>
      </c>
      <c r="Q3" s="450">
        <f>徐钢!I3</f>
        <v/>
      </c>
      <c r="R3" s="450">
        <f>闽源!H3</f>
        <v/>
      </c>
      <c r="S3" s="450">
        <f>闽源!I3</f>
        <v/>
      </c>
      <c r="T3" s="463">
        <f>长江!H3</f>
        <v/>
      </c>
      <c r="U3" s="454">
        <f>长江!I3</f>
        <v/>
      </c>
      <c r="V3" s="454">
        <f>长江!J3</f>
        <v/>
      </c>
      <c r="W3" s="454">
        <f>长江!K3</f>
        <v/>
      </c>
      <c r="X3" s="454">
        <f>长江!L3</f>
        <v/>
      </c>
      <c r="Y3" s="454">
        <f>长江!M3</f>
        <v/>
      </c>
      <c r="Z3" s="454">
        <f>长江!N3</f>
        <v/>
      </c>
      <c r="AA3" s="454">
        <f>长江!O3</f>
        <v/>
      </c>
      <c r="AB3" s="504">
        <f>萍钢!J3</f>
        <v/>
      </c>
      <c r="AC3" s="504">
        <f>萍钢!K3</f>
        <v/>
      </c>
      <c r="AD3" s="450">
        <f>金虹!H3</f>
        <v/>
      </c>
      <c r="AE3" s="450">
        <f>金虹!I3</f>
        <v/>
      </c>
      <c r="AF3" s="450">
        <f>南钢!H3</f>
        <v/>
      </c>
      <c r="AG3" s="441">
        <f>南钢!I3</f>
        <v/>
      </c>
      <c r="AH3" s="450">
        <f>鄂钢!H3</f>
        <v/>
      </c>
      <c r="AI3" s="450">
        <f>鄂钢!I3</f>
        <v/>
      </c>
      <c r="AJ3" s="450">
        <f>贵航!H3</f>
        <v/>
      </c>
      <c r="AK3" s="450">
        <f>贵航!I3</f>
        <v/>
      </c>
      <c r="AL3" s="504">
        <f>萍钢!H3</f>
        <v/>
      </c>
      <c r="AM3" s="504">
        <f>萍钢!I3</f>
        <v/>
      </c>
      <c r="AN3" s="450">
        <f>桂鑫!H3</f>
        <v/>
      </c>
      <c r="AO3" s="450">
        <f>桂鑫!I3</f>
        <v/>
      </c>
      <c r="AP3" s="504">
        <f>金安!G3</f>
        <v/>
      </c>
      <c r="AQ3" s="504">
        <f>金安!H3</f>
        <v/>
      </c>
      <c r="AR3" s="464">
        <f>马钢!H3</f>
        <v/>
      </c>
      <c r="AS3" s="464">
        <f>马钢!I3</f>
        <v/>
      </c>
      <c r="AT3" s="450">
        <f>中天!H3</f>
        <v/>
      </c>
      <c r="AU3" s="450">
        <f>中天!I3</f>
        <v/>
      </c>
      <c r="AV3" s="457" t="n">
        <v>0</v>
      </c>
      <c r="AW3" s="457" t="n">
        <v>0</v>
      </c>
      <c r="AX3" s="450">
        <f>新兴铸管!H3</f>
        <v/>
      </c>
      <c r="AY3" s="450">
        <f>新兴铸管!I3</f>
        <v/>
      </c>
      <c r="AZ3" s="450">
        <f>新兴铸管!J3</f>
        <v/>
      </c>
      <c r="BA3" s="441">
        <f>新兴铸管!K3</f>
        <v/>
      </c>
      <c r="BB3" s="441" t="n"/>
      <c r="BC3" s="441" t="n"/>
      <c r="BD3" s="441" t="n"/>
      <c r="BE3" s="441" t="n"/>
      <c r="BF3" s="441" t="n"/>
      <c r="BG3" s="441" t="n"/>
      <c r="BH3" s="441" t="n"/>
      <c r="BI3" s="441" t="n"/>
      <c r="BJ3" s="441" t="n"/>
      <c r="BK3" s="441" t="n"/>
      <c r="BL3" s="441" t="n"/>
      <c r="BM3" s="441" t="n"/>
      <c r="BN3" s="441" t="n"/>
      <c r="BO3" s="441" t="n"/>
      <c r="BP3" s="464">
        <f>马钢!T3</f>
        <v/>
      </c>
      <c r="BQ3" s="464">
        <f>马钢!U3</f>
        <v/>
      </c>
      <c r="BR3" s="450" t="n">
        <v>0</v>
      </c>
      <c r="BS3" s="450" t="inlineStr">
        <is>
          <t>/</t>
        </is>
      </c>
      <c r="BT3" s="457" t="n">
        <v>0</v>
      </c>
      <c r="BU3" s="445" t="n">
        <v>0</v>
      </c>
      <c r="BV3" s="457" t="n">
        <v>0</v>
      </c>
      <c r="BW3" s="445" t="n">
        <v>0</v>
      </c>
      <c r="BX3" s="457" t="n">
        <v>0</v>
      </c>
      <c r="BY3" s="445" t="n">
        <v>0</v>
      </c>
      <c r="BZ3" s="457" t="n">
        <v>0</v>
      </c>
      <c r="CA3" s="457" t="inlineStr">
        <is>
          <t>/</t>
        </is>
      </c>
      <c r="CB3" s="457" t="n">
        <v>0</v>
      </c>
      <c r="CC3" s="457" t="inlineStr">
        <is>
          <t>/</t>
        </is>
      </c>
    </row>
    <row r="4" ht="18" customHeight="1" s="527">
      <c r="A4" s="537" t="inlineStr">
        <is>
          <t xml:space="preserve"> 需求单位：蚌埠市蚌投贸易有限公司（蚌埠市龙子湖区）</t>
        </is>
      </c>
      <c r="B4" s="528" t="n"/>
      <c r="C4" s="528" t="n"/>
      <c r="D4" s="528" t="n"/>
      <c r="E4" s="529" t="n"/>
      <c r="F4" s="466" t="n"/>
      <c r="G4" s="467" t="inlineStr">
        <is>
          <t>发货时间</t>
        </is>
      </c>
      <c r="H4" s="531" t="n"/>
      <c r="I4" s="531" t="n"/>
      <c r="J4" s="531" t="n"/>
      <c r="K4" s="531" t="n"/>
      <c r="L4" s="531" t="n"/>
      <c r="M4" s="530" t="n"/>
      <c r="N4" s="468" t="n"/>
      <c r="O4" s="453" t="inlineStr">
        <is>
          <t>螺纹18基价</t>
        </is>
      </c>
      <c r="P4" s="450">
        <f>徐钢!H4</f>
        <v/>
      </c>
      <c r="Q4" s="450">
        <f>徐钢!I4</f>
        <v/>
      </c>
      <c r="R4" s="450">
        <f>闽源!H4</f>
        <v/>
      </c>
      <c r="S4" s="450">
        <f>闽源!I4</f>
        <v/>
      </c>
      <c r="T4" s="454">
        <f>长江!H4</f>
        <v/>
      </c>
      <c r="U4" s="469">
        <f>长江!I4</f>
        <v/>
      </c>
      <c r="V4" s="454">
        <f>长江!J4</f>
        <v/>
      </c>
      <c r="W4" s="454">
        <f>长江!K4</f>
        <v/>
      </c>
      <c r="X4" s="454">
        <f>长江!L4</f>
        <v/>
      </c>
      <c r="Y4" s="454">
        <f>长江!M4</f>
        <v/>
      </c>
      <c r="Z4" s="454">
        <f>长江!N4</f>
        <v/>
      </c>
      <c r="AA4" s="454">
        <f>长江!O4</f>
        <v/>
      </c>
      <c r="AB4" s="504">
        <f>萍钢!J4</f>
        <v/>
      </c>
      <c r="AC4" s="504">
        <f>萍钢!K4</f>
        <v/>
      </c>
      <c r="AD4" s="450">
        <f>金虹!H4</f>
        <v/>
      </c>
      <c r="AE4" s="450">
        <f>金虹!I4</f>
        <v/>
      </c>
      <c r="AF4" s="450">
        <f>南钢!H4</f>
        <v/>
      </c>
      <c r="AG4" s="441">
        <f>南钢!I4</f>
        <v/>
      </c>
      <c r="AH4" s="450">
        <f>鄂钢!H4</f>
        <v/>
      </c>
      <c r="AI4" s="450">
        <f>鄂钢!I4</f>
        <v/>
      </c>
      <c r="AJ4" s="450">
        <f>贵航!H4</f>
        <v/>
      </c>
      <c r="AK4" s="450">
        <f>贵航!I4</f>
        <v/>
      </c>
      <c r="AL4" s="504">
        <f>萍钢!H4</f>
        <v/>
      </c>
      <c r="AM4" s="504">
        <f>萍钢!I4</f>
        <v/>
      </c>
      <c r="AN4" s="450">
        <f>桂鑫!H4</f>
        <v/>
      </c>
      <c r="AO4" s="450">
        <f>桂鑫!I4</f>
        <v/>
      </c>
      <c r="AP4" s="504">
        <f>金安!G4</f>
        <v/>
      </c>
      <c r="AQ4" s="504">
        <f>金安!H4</f>
        <v/>
      </c>
      <c r="AR4" s="456">
        <f>马钢!H4</f>
        <v/>
      </c>
      <c r="AS4" s="456">
        <f>马钢!I4</f>
        <v/>
      </c>
      <c r="AT4" s="450">
        <f>中天!H4</f>
        <v/>
      </c>
      <c r="AU4" s="450">
        <f>中天!I4</f>
        <v/>
      </c>
      <c r="AV4" s="457" t="n">
        <v>0</v>
      </c>
      <c r="AW4" s="457" t="n">
        <v>0</v>
      </c>
      <c r="AX4" s="450">
        <f>新兴铸管!H4</f>
        <v/>
      </c>
      <c r="AY4" s="450">
        <f>新兴铸管!I4</f>
        <v/>
      </c>
      <c r="AZ4" s="450">
        <f>新兴铸管!J4</f>
        <v/>
      </c>
      <c r="BA4" s="441">
        <f>新兴铸管!K4</f>
        <v/>
      </c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56">
        <f>马钢!T4</f>
        <v/>
      </c>
      <c r="BQ4" s="456">
        <f>马钢!U4</f>
        <v/>
      </c>
      <c r="BR4" s="450" t="n">
        <v>0</v>
      </c>
      <c r="BS4" s="450" t="inlineStr">
        <is>
          <t>/</t>
        </is>
      </c>
      <c r="BT4" s="457" t="n">
        <v>0</v>
      </c>
      <c r="BU4" s="445" t="n">
        <v>0</v>
      </c>
      <c r="BV4" s="457" t="n">
        <v>0</v>
      </c>
      <c r="BW4" s="445" t="n">
        <v>0</v>
      </c>
      <c r="BX4" s="457" t="n">
        <v>0</v>
      </c>
      <c r="BY4" s="445" t="n">
        <v>0</v>
      </c>
      <c r="BZ4" s="457" t="n">
        <v>0</v>
      </c>
      <c r="CA4" s="457" t="inlineStr">
        <is>
          <t>/</t>
        </is>
      </c>
      <c r="CB4" s="457" t="n">
        <v>0</v>
      </c>
      <c r="CC4" s="457" t="inlineStr">
        <is>
          <t>/</t>
        </is>
      </c>
    </row>
    <row r="5" ht="18" customHeight="1" s="527">
      <c r="A5" s="532" t="n"/>
      <c r="E5" s="533" t="n"/>
      <c r="F5" s="538" t="n"/>
      <c r="G5" s="470" t="n"/>
      <c r="H5" s="470" t="n"/>
      <c r="I5" s="471" t="n"/>
      <c r="J5" s="428" t="n"/>
      <c r="K5" s="470" t="n"/>
      <c r="L5" s="470" t="n"/>
      <c r="M5" s="470" t="n"/>
      <c r="N5" s="472" t="n"/>
      <c r="O5" s="473" t="inlineStr">
        <is>
          <t>不开票运费</t>
        </is>
      </c>
      <c r="P5" s="450">
        <f>徐钢!H5</f>
        <v/>
      </c>
      <c r="Q5" s="450">
        <f>徐钢!I5</f>
        <v/>
      </c>
      <c r="R5" s="450">
        <f>闽源!H5</f>
        <v/>
      </c>
      <c r="S5" s="450">
        <f>闽源!I5</f>
        <v/>
      </c>
      <c r="T5" s="454">
        <f>长江!H5</f>
        <v/>
      </c>
      <c r="U5" s="469">
        <f>长江!I5</f>
        <v/>
      </c>
      <c r="V5" s="454">
        <f>长江!J5</f>
        <v/>
      </c>
      <c r="W5" s="454">
        <f>长江!K5</f>
        <v/>
      </c>
      <c r="X5" s="454">
        <f>长江!L5</f>
        <v/>
      </c>
      <c r="Y5" s="454">
        <f>长江!M5</f>
        <v/>
      </c>
      <c r="Z5" s="454">
        <f>长江!N5</f>
        <v/>
      </c>
      <c r="AA5" s="454">
        <f>长江!O5</f>
        <v/>
      </c>
      <c r="AB5" s="504">
        <f>萍钢!K5</f>
        <v/>
      </c>
      <c r="AC5" s="450">
        <f>中天!H5</f>
        <v/>
      </c>
      <c r="AD5" s="450">
        <f>金虹!H5</f>
        <v/>
      </c>
      <c r="AE5" s="450">
        <f>金虹!I5</f>
        <v/>
      </c>
      <c r="AF5" s="450">
        <f>南钢!I5</f>
        <v/>
      </c>
      <c r="AG5" s="438" t="n"/>
      <c r="AH5" s="450">
        <f>鄂钢!H5</f>
        <v/>
      </c>
      <c r="AI5" s="450">
        <f>鄂钢!I5</f>
        <v/>
      </c>
      <c r="AJ5" s="450">
        <f>贵航!H5</f>
        <v/>
      </c>
      <c r="AK5" s="450">
        <f>贵航!I5</f>
        <v/>
      </c>
      <c r="AL5" s="504">
        <f>萍钢!H5</f>
        <v/>
      </c>
      <c r="AM5" s="504">
        <f>萍钢!I5</f>
        <v/>
      </c>
      <c r="AN5" s="450">
        <f>桂鑫!H5</f>
        <v/>
      </c>
      <c r="AO5" s="450">
        <f>桂鑫!I5</f>
        <v/>
      </c>
      <c r="AP5" s="504">
        <f>金安!G5</f>
        <v/>
      </c>
      <c r="AQ5" s="504">
        <f>金安!H5</f>
        <v/>
      </c>
      <c r="AR5" s="456">
        <f>马钢!H5</f>
        <v/>
      </c>
      <c r="AS5" s="456">
        <f>马钢!I5</f>
        <v/>
      </c>
      <c r="AT5" s="450">
        <f>中天!I5</f>
        <v/>
      </c>
      <c r="AU5" s="450">
        <f>新兴铸管!H5</f>
        <v/>
      </c>
      <c r="AV5" s="457" t="n">
        <v>0</v>
      </c>
      <c r="AW5" s="457" t="n">
        <v>0</v>
      </c>
      <c r="AX5" s="450">
        <f>新兴铸管!I5</f>
        <v/>
      </c>
      <c r="AY5" s="450">
        <f>新兴铸管!J5</f>
        <v/>
      </c>
      <c r="AZ5" s="441">
        <f>新兴铸管!K5</f>
        <v/>
      </c>
      <c r="BA5" s="441">
        <f>南钢!H5</f>
        <v/>
      </c>
      <c r="BB5" s="441" t="n"/>
      <c r="BC5" s="441" t="n"/>
      <c r="BD5" s="441" t="n"/>
      <c r="BE5" s="441" t="n"/>
      <c r="BF5" s="441" t="n"/>
      <c r="BG5" s="441" t="n"/>
      <c r="BH5" s="441" t="n"/>
      <c r="BI5" s="441" t="n"/>
      <c r="BJ5" s="441" t="n"/>
      <c r="BK5" s="441" t="n"/>
      <c r="BL5" s="441" t="n"/>
      <c r="BM5" s="441" t="n"/>
      <c r="BN5" s="441" t="n"/>
      <c r="BO5" s="441" t="n"/>
      <c r="BP5" s="456">
        <f>马钢!T5</f>
        <v/>
      </c>
      <c r="BQ5" s="456">
        <f>马钢!U5</f>
        <v/>
      </c>
      <c r="BR5" s="450" t="inlineStr">
        <is>
          <t>/</t>
        </is>
      </c>
      <c r="BS5" s="450" t="n">
        <v>0</v>
      </c>
      <c r="BT5" s="457" t="n">
        <v>0</v>
      </c>
      <c r="BU5" s="445" t="n">
        <v>0</v>
      </c>
      <c r="BV5" s="457" t="n">
        <v>0</v>
      </c>
      <c r="BW5" s="445" t="n">
        <v>0</v>
      </c>
      <c r="BX5" s="457" t="inlineStr">
        <is>
          <t>/</t>
        </is>
      </c>
      <c r="BY5" s="445" t="n">
        <v>0</v>
      </c>
      <c r="BZ5" s="457" t="inlineStr">
        <is>
          <t>/</t>
        </is>
      </c>
      <c r="CA5" s="457" t="n">
        <v>0</v>
      </c>
      <c r="CB5" s="457" t="inlineStr">
        <is>
          <t>/</t>
        </is>
      </c>
      <c r="CC5" s="457" t="n">
        <v>0</v>
      </c>
    </row>
    <row r="6" ht="30" customHeight="1" s="527">
      <c r="A6" s="532" t="n"/>
      <c r="E6" s="533" t="n"/>
      <c r="F6" s="538" t="n"/>
      <c r="G6" s="474" t="inlineStr">
        <is>
          <t>提货单位</t>
        </is>
      </c>
      <c r="H6" s="493" t="inlineStr">
        <is>
          <t>长江</t>
        </is>
      </c>
      <c r="I6" s="493" t="inlineStr">
        <is>
          <t>南钢</t>
        </is>
      </c>
      <c r="J6" s="493" t="inlineStr">
        <is>
          <t>贵航</t>
        </is>
      </c>
      <c r="K6" s="493" t="inlineStr">
        <is>
          <t>贵航</t>
        </is>
      </c>
      <c r="L6" s="493" t="inlineStr">
        <is>
          <t>闽源</t>
        </is>
      </c>
      <c r="M6" s="493" t="inlineStr">
        <is>
          <t>徐纲</t>
        </is>
      </c>
      <c r="N6" s="477" t="inlineStr">
        <is>
          <t>萍钢</t>
        </is>
      </c>
      <c r="O6" s="473" t="inlineStr">
        <is>
          <t>一票制运费</t>
        </is>
      </c>
      <c r="P6" s="450">
        <f>徐钢!H6</f>
        <v/>
      </c>
      <c r="Q6" s="450">
        <f>徐钢!I6</f>
        <v/>
      </c>
      <c r="R6" s="450">
        <f>闽源!H6</f>
        <v/>
      </c>
      <c r="S6" s="450">
        <f>闽源!I6</f>
        <v/>
      </c>
      <c r="T6" s="454">
        <f>长江!H6</f>
        <v/>
      </c>
      <c r="U6" s="469">
        <f>长江!I6</f>
        <v/>
      </c>
      <c r="V6" s="454">
        <f>长江!J6</f>
        <v/>
      </c>
      <c r="W6" s="454">
        <f>长江!K6</f>
        <v/>
      </c>
      <c r="X6" s="454">
        <f>长江!L6</f>
        <v/>
      </c>
      <c r="Y6" s="454">
        <f>长江!M6</f>
        <v/>
      </c>
      <c r="Z6" s="454">
        <f>长江!N6</f>
        <v/>
      </c>
      <c r="AA6" s="454">
        <f>长江!O6</f>
        <v/>
      </c>
      <c r="AB6" s="504">
        <f>萍钢!J6</f>
        <v/>
      </c>
      <c r="AC6" s="504">
        <f>萍钢!K6</f>
        <v/>
      </c>
      <c r="AD6" s="450">
        <f>金虹!H6</f>
        <v/>
      </c>
      <c r="AE6" s="450">
        <f>金虹!I6</f>
        <v/>
      </c>
      <c r="AF6" s="450">
        <f>南钢!H6</f>
        <v/>
      </c>
      <c r="AG6" s="441">
        <f>南钢!I6</f>
        <v/>
      </c>
      <c r="AH6" s="450">
        <f>鄂钢!H6</f>
        <v/>
      </c>
      <c r="AI6" s="450">
        <f>鄂钢!I6</f>
        <v/>
      </c>
      <c r="AJ6" s="450">
        <f>贵航!H6</f>
        <v/>
      </c>
      <c r="AK6" s="450">
        <f>贵航!I6</f>
        <v/>
      </c>
      <c r="AL6" s="504">
        <f>萍钢!H6</f>
        <v/>
      </c>
      <c r="AM6" s="504">
        <f>萍钢!I6</f>
        <v/>
      </c>
      <c r="AN6" s="450">
        <f>桂鑫!H6</f>
        <v/>
      </c>
      <c r="AO6" s="450">
        <f>桂鑫!I6</f>
        <v/>
      </c>
      <c r="AP6" s="504">
        <f>金安!G6</f>
        <v/>
      </c>
      <c r="AQ6" s="504">
        <f>金安!H6</f>
        <v/>
      </c>
      <c r="AR6" s="456">
        <f>马钢!H6</f>
        <v/>
      </c>
      <c r="AS6" s="456">
        <f>马钢!I6</f>
        <v/>
      </c>
      <c r="AT6" s="450">
        <f>中天!H6</f>
        <v/>
      </c>
      <c r="AU6" s="450">
        <f>中天!I6</f>
        <v/>
      </c>
      <c r="AV6" s="457" t="n">
        <v>0</v>
      </c>
      <c r="AW6" s="457" t="inlineStr">
        <is>
          <t>/</t>
        </is>
      </c>
      <c r="AX6" s="450">
        <f>新兴铸管!H6</f>
        <v/>
      </c>
      <c r="AY6" s="450">
        <f>新兴铸管!I6</f>
        <v/>
      </c>
      <c r="AZ6" s="450">
        <f>新兴铸管!J6</f>
        <v/>
      </c>
      <c r="BA6" s="441">
        <f>新兴铸管!K6</f>
        <v/>
      </c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56">
        <f>马钢!T6</f>
        <v/>
      </c>
      <c r="BQ6" s="456">
        <f>马钢!U6</f>
        <v/>
      </c>
      <c r="BR6" s="450" t="n">
        <v>120</v>
      </c>
      <c r="BS6" s="450" t="n">
        <v>0</v>
      </c>
      <c r="BT6" s="457" t="n">
        <v>0</v>
      </c>
      <c r="BU6" s="445" t="inlineStr">
        <is>
          <t>/</t>
        </is>
      </c>
      <c r="BV6" s="457" t="n">
        <v>60</v>
      </c>
      <c r="BW6" s="445" t="n">
        <v>0</v>
      </c>
      <c r="BX6" s="457" t="n">
        <v>120</v>
      </c>
      <c r="BY6" s="445" t="inlineStr">
        <is>
          <t>/</t>
        </is>
      </c>
      <c r="BZ6" s="457" t="n">
        <v>160</v>
      </c>
      <c r="CA6" s="457" t="n">
        <v>0</v>
      </c>
      <c r="CB6" s="457" t="n">
        <v>0</v>
      </c>
      <c r="CC6" s="457" t="inlineStr">
        <is>
          <t>/</t>
        </is>
      </c>
    </row>
    <row r="7" ht="18" customHeight="1" s="527">
      <c r="A7" s="534" t="n"/>
      <c r="B7" s="535" t="n"/>
      <c r="C7" s="535" t="n"/>
      <c r="D7" s="535" t="n"/>
      <c r="E7" s="536" t="n"/>
      <c r="F7" s="539" t="n"/>
      <c r="G7" s="539" t="n"/>
      <c r="H7" s="450" t="inlineStr">
        <is>
          <t>蚌埠库</t>
        </is>
      </c>
      <c r="I7" s="450" t="inlineStr">
        <is>
          <t>厂发</t>
        </is>
      </c>
      <c r="J7" s="450" t="inlineStr">
        <is>
          <t>厂发</t>
        </is>
      </c>
      <c r="K7" s="450" t="inlineStr">
        <is>
          <t>厂发</t>
        </is>
      </c>
      <c r="L7" s="450" t="inlineStr">
        <is>
          <t>厂发</t>
        </is>
      </c>
      <c r="M7" s="450" t="inlineStr">
        <is>
          <t>厂发</t>
        </is>
      </c>
      <c r="N7" s="448" t="n"/>
      <c r="O7" s="473" t="inlineStr">
        <is>
          <t>附加运费</t>
        </is>
      </c>
      <c r="P7" s="450">
        <f>徐钢!H7</f>
        <v/>
      </c>
      <c r="Q7" s="450">
        <f>徐钢!I7</f>
        <v/>
      </c>
      <c r="R7" s="450">
        <f>闽源!H7</f>
        <v/>
      </c>
      <c r="S7" s="450">
        <f>闽源!I7</f>
        <v/>
      </c>
      <c r="T7" s="454">
        <f>长江!H7</f>
        <v/>
      </c>
      <c r="U7" s="469">
        <f>长江!I7</f>
        <v/>
      </c>
      <c r="V7" s="454">
        <f>长江!J7</f>
        <v/>
      </c>
      <c r="W7" s="454">
        <f>长江!K7</f>
        <v/>
      </c>
      <c r="X7" s="454">
        <f>长江!L7</f>
        <v/>
      </c>
      <c r="Y7" s="454">
        <f>长江!M7</f>
        <v/>
      </c>
      <c r="Z7" s="454">
        <f>长江!N7</f>
        <v/>
      </c>
      <c r="AA7" s="454">
        <f>长江!O7</f>
        <v/>
      </c>
      <c r="AB7" s="504">
        <f>萍钢!J7</f>
        <v/>
      </c>
      <c r="AC7" s="504">
        <f>萍钢!K7</f>
        <v/>
      </c>
      <c r="AD7" s="450">
        <f>金虹!H7</f>
        <v/>
      </c>
      <c r="AE7" s="450">
        <f>金虹!I7</f>
        <v/>
      </c>
      <c r="AF7" s="450">
        <f>南钢!H7</f>
        <v/>
      </c>
      <c r="AG7" s="441">
        <f>南钢!I7</f>
        <v/>
      </c>
      <c r="AH7" s="450">
        <f>鄂钢!H7</f>
        <v/>
      </c>
      <c r="AI7" s="450">
        <f>鄂钢!I7</f>
        <v/>
      </c>
      <c r="AJ7" s="450">
        <f>贵航!H7</f>
        <v/>
      </c>
      <c r="AK7" s="450">
        <f>贵航!I7</f>
        <v/>
      </c>
      <c r="AL7" s="504">
        <f>萍钢!H7</f>
        <v/>
      </c>
      <c r="AM7" s="504">
        <f>萍钢!I7</f>
        <v/>
      </c>
      <c r="AN7" s="450">
        <f>桂鑫!H7</f>
        <v/>
      </c>
      <c r="AO7" s="450">
        <f>桂鑫!I7</f>
        <v/>
      </c>
      <c r="AP7" s="504">
        <f>金安!G7</f>
        <v/>
      </c>
      <c r="AQ7" s="504" t="n"/>
      <c r="AR7" s="456">
        <f>马钢!H7</f>
        <v/>
      </c>
      <c r="AS7" s="456">
        <f>马钢!I7</f>
        <v/>
      </c>
      <c r="AT7" s="450">
        <f>中天!H7</f>
        <v/>
      </c>
      <c r="AU7" s="450">
        <f>中天!I7</f>
        <v/>
      </c>
      <c r="AV7" s="457" t="n">
        <v>0</v>
      </c>
      <c r="AW7" s="457" t="inlineStr">
        <is>
          <t>/</t>
        </is>
      </c>
      <c r="AX7" s="450">
        <f>新兴铸管!H7</f>
        <v/>
      </c>
      <c r="AY7" s="450">
        <f>新兴铸管!I7</f>
        <v/>
      </c>
      <c r="AZ7" s="450">
        <f>新兴铸管!J7</f>
        <v/>
      </c>
      <c r="BA7" s="441">
        <f>新兴铸管!K7</f>
        <v/>
      </c>
      <c r="BB7" s="441" t="n"/>
      <c r="BC7" s="441" t="n"/>
      <c r="BD7" s="441" t="n"/>
      <c r="BE7" s="441" t="n"/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56">
        <f>马钢!T7</f>
        <v/>
      </c>
      <c r="BQ7" s="456">
        <f>马钢!U7</f>
        <v/>
      </c>
      <c r="BR7" s="450" t="n">
        <v>0</v>
      </c>
      <c r="BS7" s="450" t="inlineStr">
        <is>
          <t>/</t>
        </is>
      </c>
      <c r="BT7" s="457" t="n">
        <v>0</v>
      </c>
      <c r="BU7" s="445" t="inlineStr">
        <is>
          <t>/</t>
        </is>
      </c>
      <c r="BV7" s="457" t="n">
        <v>0</v>
      </c>
      <c r="BW7" s="445" t="n">
        <v>0</v>
      </c>
      <c r="BX7" s="457" t="n">
        <v>0</v>
      </c>
      <c r="BY7" s="445" t="inlineStr">
        <is>
          <t>/</t>
        </is>
      </c>
      <c r="BZ7" s="457" t="n">
        <v>0</v>
      </c>
      <c r="CA7" s="457" t="inlineStr">
        <is>
          <t>/</t>
        </is>
      </c>
      <c r="CB7" s="457" t="n">
        <v>0</v>
      </c>
      <c r="CC7" s="457" t="inlineStr">
        <is>
          <t>/</t>
        </is>
      </c>
    </row>
    <row r="8" ht="45.75" customFormat="1" customHeight="1" s="424">
      <c r="A8" s="496" t="inlineStr">
        <is>
          <t>等级</t>
        </is>
      </c>
      <c r="B8" s="496" t="inlineStr">
        <is>
          <t>规格</t>
        </is>
      </c>
      <c r="C8" s="493" t="inlineStr">
        <is>
          <t>长度（米）</t>
        </is>
      </c>
      <c r="D8" s="496" t="inlineStr">
        <is>
          <t>材质</t>
        </is>
      </c>
      <c r="E8" s="540" t="inlineStr">
        <is>
          <t>数量</t>
        </is>
      </c>
      <c r="F8" s="540" t="inlineStr">
        <is>
          <t>金额</t>
        </is>
      </c>
      <c r="G8" s="493" t="inlineStr">
        <is>
          <t>提货网差</t>
        </is>
      </c>
      <c r="H8" s="493" t="inlineStr">
        <is>
          <t>数量（吨）</t>
        </is>
      </c>
      <c r="I8" s="493" t="inlineStr">
        <is>
          <t>数量（吨）</t>
        </is>
      </c>
      <c r="J8" s="493" t="inlineStr">
        <is>
          <t>数量（吨）</t>
        </is>
      </c>
      <c r="K8" s="493" t="inlineStr">
        <is>
          <t>数量（吨）</t>
        </is>
      </c>
      <c r="L8" s="493" t="n"/>
      <c r="M8" s="493" t="inlineStr">
        <is>
          <t>数量（吨）</t>
        </is>
      </c>
      <c r="N8" s="480" t="n"/>
      <c r="O8" s="481" t="n"/>
      <c r="P8" s="450">
        <f>徐钢!H8</f>
        <v/>
      </c>
      <c r="Q8" s="450">
        <f>徐钢!I8</f>
        <v/>
      </c>
      <c r="R8" s="450">
        <f>闽源!H8</f>
        <v/>
      </c>
      <c r="S8" s="450">
        <f>闽源!I8</f>
        <v/>
      </c>
      <c r="T8" s="502">
        <f>长江!H8</f>
        <v/>
      </c>
      <c r="U8" s="503">
        <f>长江!I8</f>
        <v/>
      </c>
      <c r="V8" s="502">
        <f>长江!J8</f>
        <v/>
      </c>
      <c r="W8" s="502">
        <f>长江!K8</f>
        <v/>
      </c>
      <c r="X8" s="502">
        <f>长江!L8</f>
        <v/>
      </c>
      <c r="Y8" s="502">
        <f>长江!M8</f>
        <v/>
      </c>
      <c r="Z8" s="502">
        <f>长江!N8</f>
        <v/>
      </c>
      <c r="AA8" s="502">
        <f>长江!O8</f>
        <v/>
      </c>
      <c r="AB8" s="504">
        <f>萍钢!J8</f>
        <v/>
      </c>
      <c r="AC8" s="504">
        <f>萍钢!K8</f>
        <v/>
      </c>
      <c r="AD8" s="450">
        <f>金虹!H8</f>
        <v/>
      </c>
      <c r="AE8" s="450">
        <f>金虹!I8</f>
        <v/>
      </c>
      <c r="AF8" s="450">
        <f>南钢!H8</f>
        <v/>
      </c>
      <c r="AG8" s="441">
        <f>南钢!I8</f>
        <v/>
      </c>
      <c r="AH8" s="450">
        <f>鄂钢!H8</f>
        <v/>
      </c>
      <c r="AI8" s="450">
        <f>鄂钢!I8</f>
        <v/>
      </c>
      <c r="AJ8" s="450">
        <f>贵航!H8</f>
        <v/>
      </c>
      <c r="AK8" s="450">
        <f>贵航!I8</f>
        <v/>
      </c>
      <c r="AL8" s="504">
        <f>萍钢!H8</f>
        <v/>
      </c>
      <c r="AM8" s="504">
        <f>萍钢!I8</f>
        <v/>
      </c>
      <c r="AN8" s="450">
        <f>桂鑫!H8</f>
        <v/>
      </c>
      <c r="AO8" s="450">
        <f>桂鑫!I8</f>
        <v/>
      </c>
      <c r="AP8" s="504">
        <f>金安!G8</f>
        <v/>
      </c>
      <c r="AQ8" s="504">
        <f>金安!H8</f>
        <v/>
      </c>
      <c r="AR8" s="464">
        <f>马钢!H8</f>
        <v/>
      </c>
      <c r="AS8" s="456">
        <f>马钢!I8</f>
        <v/>
      </c>
      <c r="AT8" s="450">
        <f>中天!H8</f>
        <v/>
      </c>
      <c r="AU8" s="450">
        <f>中天!I8</f>
        <v/>
      </c>
      <c r="AV8" s="457" t="inlineStr">
        <is>
          <t>闽曜</t>
        </is>
      </c>
      <c r="AW8" s="457" t="inlineStr">
        <is>
          <t>网差</t>
        </is>
      </c>
      <c r="AX8" s="450">
        <f>新兴铸管!H8</f>
        <v/>
      </c>
      <c r="AY8" s="450">
        <f>新兴铸管!I8</f>
        <v/>
      </c>
      <c r="AZ8" s="450">
        <f>新兴铸管!J8</f>
        <v/>
      </c>
      <c r="BA8" s="441">
        <f>新兴铸管!K8</f>
        <v/>
      </c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64">
        <f>马钢!T8</f>
        <v/>
      </c>
      <c r="BQ8" s="456">
        <f>马钢!U8</f>
        <v/>
      </c>
      <c r="BR8" s="450" t="inlineStr">
        <is>
          <t>筑建</t>
        </is>
      </c>
      <c r="BS8" s="450" t="inlineStr">
        <is>
          <t>网差</t>
        </is>
      </c>
      <c r="BT8" s="457" t="inlineStr">
        <is>
          <t>闽曜</t>
        </is>
      </c>
      <c r="BU8" s="445" t="inlineStr">
        <is>
          <t>网差</t>
        </is>
      </c>
      <c r="BV8" s="457" t="inlineStr">
        <is>
          <t>嘉倍</t>
        </is>
      </c>
      <c r="BW8" s="445" t="inlineStr">
        <is>
          <t>网差</t>
        </is>
      </c>
      <c r="BX8" s="457" t="inlineStr">
        <is>
          <t>骞腾</t>
        </is>
      </c>
      <c r="BY8" s="445" t="inlineStr">
        <is>
          <t>网差</t>
        </is>
      </c>
      <c r="BZ8" s="457" t="inlineStr">
        <is>
          <t>爱军</t>
        </is>
      </c>
      <c r="CA8" s="457" t="inlineStr">
        <is>
          <t>网差</t>
        </is>
      </c>
      <c r="CB8" s="457" t="inlineStr">
        <is>
          <t>芜湖鑫盛</t>
        </is>
      </c>
      <c r="CC8" s="457" t="inlineStr">
        <is>
          <t>网差</t>
        </is>
      </c>
    </row>
    <row r="9" ht="18" customFormat="1" customHeight="1" s="424">
      <c r="A9" s="493" t="inlineStr">
        <is>
          <t>一级钢</t>
        </is>
      </c>
      <c r="B9" s="496" t="n">
        <v>6</v>
      </c>
      <c r="C9" s="493" t="n"/>
      <c r="D9" s="496" t="inlineStr">
        <is>
          <t>HPB300</t>
        </is>
      </c>
      <c r="E9" s="484" t="n"/>
      <c r="F9" s="484">
        <f>E9*G9</f>
        <v/>
      </c>
      <c r="G9" s="484" t="n"/>
      <c r="H9" s="493" t="n"/>
      <c r="I9" s="493" t="n"/>
      <c r="J9" s="493" t="n"/>
      <c r="K9" s="493" t="n"/>
      <c r="L9" s="493" t="n"/>
      <c r="M9" s="493" t="n"/>
      <c r="N9" s="477" t="n"/>
      <c r="O9" s="477" t="n"/>
      <c r="P9" s="450">
        <f>徐钢!H9</f>
        <v/>
      </c>
      <c r="Q9" s="450">
        <f>徐钢!I9</f>
        <v/>
      </c>
      <c r="R9" s="450">
        <f>闽源!H9</f>
        <v/>
      </c>
      <c r="S9" s="450">
        <f>闽源!I9</f>
        <v/>
      </c>
      <c r="T9" s="502">
        <f>长江!H9</f>
        <v/>
      </c>
      <c r="U9" s="503">
        <f>长江!I9</f>
        <v/>
      </c>
      <c r="V9" s="502">
        <f>长江!J9</f>
        <v/>
      </c>
      <c r="W9" s="502">
        <f>长江!K9</f>
        <v/>
      </c>
      <c r="X9" s="502">
        <f>长江!L9</f>
        <v/>
      </c>
      <c r="Y9" s="502">
        <f>长江!M9</f>
        <v/>
      </c>
      <c r="Z9" s="502">
        <f>长江!N9</f>
        <v/>
      </c>
      <c r="AA9" s="502">
        <f>长江!O9</f>
        <v/>
      </c>
      <c r="AB9" s="504">
        <f>萍钢!J9</f>
        <v/>
      </c>
      <c r="AC9" s="504">
        <f>萍钢!K9</f>
        <v/>
      </c>
      <c r="AD9" s="450">
        <f>金虹!H9</f>
        <v/>
      </c>
      <c r="AE9" s="450">
        <f>金虹!I9</f>
        <v/>
      </c>
      <c r="AF9" s="450">
        <f>南钢!H9</f>
        <v/>
      </c>
      <c r="AG9" s="441">
        <f>南钢!I9</f>
        <v/>
      </c>
      <c r="AH9" s="450">
        <f>鄂钢!H9</f>
        <v/>
      </c>
      <c r="AI9" s="450">
        <f>鄂钢!I9</f>
        <v/>
      </c>
      <c r="AJ9" s="450">
        <f>贵航!H9</f>
        <v/>
      </c>
      <c r="AK9" s="450">
        <f>贵航!I9</f>
        <v/>
      </c>
      <c r="AL9" s="504">
        <f>萍钢!H9</f>
        <v/>
      </c>
      <c r="AM9" s="504">
        <f>萍钢!I9</f>
        <v/>
      </c>
      <c r="AN9" s="450">
        <f>桂鑫!H9</f>
        <v/>
      </c>
      <c r="AO9" s="450">
        <f>桂鑫!I9</f>
        <v/>
      </c>
      <c r="AP9" s="504">
        <f>金安!G9</f>
        <v/>
      </c>
      <c r="AQ9" s="504">
        <f>金安!H9</f>
        <v/>
      </c>
      <c r="AR9" s="456">
        <f>马钢!H9</f>
        <v/>
      </c>
      <c r="AS9" s="453">
        <f>马钢!I9</f>
        <v/>
      </c>
      <c r="AT9" s="450">
        <f>中天!H9</f>
        <v/>
      </c>
      <c r="AU9" s="450">
        <f>中天!I9</f>
        <v/>
      </c>
      <c r="AV9" s="450" t="n">
        <v>100</v>
      </c>
      <c r="AW9" s="450" t="n">
        <v>0</v>
      </c>
      <c r="AX9" s="450">
        <f>新兴铸管!H9</f>
        <v/>
      </c>
      <c r="AY9" s="450">
        <f>新兴铸管!I9</f>
        <v/>
      </c>
      <c r="AZ9" s="450">
        <f>新兴铸管!J9</f>
        <v/>
      </c>
      <c r="BA9" s="441">
        <f>新兴铸管!K9</f>
        <v/>
      </c>
      <c r="BB9" s="441" t="n"/>
      <c r="BC9" s="441" t="n"/>
      <c r="BD9" s="441" t="n"/>
      <c r="BE9" s="441" t="n"/>
      <c r="BF9" s="441" t="n"/>
      <c r="BG9" s="441" t="n"/>
      <c r="BH9" s="441" t="n"/>
      <c r="BI9" s="441" t="n"/>
      <c r="BJ9" s="441" t="n"/>
      <c r="BK9" s="441" t="n"/>
      <c r="BL9" s="441" t="n"/>
      <c r="BM9" s="441" t="n"/>
      <c r="BN9" s="441" t="n"/>
      <c r="BO9" s="441" t="n"/>
      <c r="BP9" s="456">
        <f>马钢!T9</f>
        <v/>
      </c>
      <c r="BQ9" s="453">
        <f>马钢!U9</f>
        <v/>
      </c>
      <c r="BR9" s="450" t="inlineStr">
        <is>
          <t>/</t>
        </is>
      </c>
      <c r="BS9" s="450" t="inlineStr">
        <is>
          <t>/</t>
        </is>
      </c>
      <c r="BT9" s="450" t="n">
        <v>100</v>
      </c>
      <c r="BU9" s="441" t="n">
        <v>0</v>
      </c>
      <c r="BV9" s="450" t="inlineStr">
        <is>
          <t>/</t>
        </is>
      </c>
      <c r="BW9" s="441" t="n">
        <v>0</v>
      </c>
      <c r="BX9" s="450" t="inlineStr">
        <is>
          <t>/</t>
        </is>
      </c>
      <c r="BY9" s="441" t="inlineStr">
        <is>
          <t>/</t>
        </is>
      </c>
      <c r="BZ9" s="450" t="inlineStr">
        <is>
          <t>/</t>
        </is>
      </c>
      <c r="CA9" s="450" t="inlineStr">
        <is>
          <t>/</t>
        </is>
      </c>
      <c r="CB9" s="450" t="inlineStr">
        <is>
          <t>/</t>
        </is>
      </c>
      <c r="CC9" s="450" t="inlineStr">
        <is>
          <t>/</t>
        </is>
      </c>
    </row>
    <row r="10" ht="18" customFormat="1" customHeight="1" s="424">
      <c r="A10" s="538" t="n"/>
      <c r="B10" s="496" t="n">
        <v>8</v>
      </c>
      <c r="C10" s="496" t="n"/>
      <c r="D10" s="486" t="inlineStr">
        <is>
          <t>HPB300</t>
        </is>
      </c>
      <c r="E10" s="493" t="n"/>
      <c r="F10" s="493">
        <f>E10*G10</f>
        <v/>
      </c>
      <c r="G10" s="493" t="n"/>
      <c r="H10" s="477" t="n"/>
      <c r="I10" s="493" t="n"/>
      <c r="J10" s="493" t="n"/>
      <c r="K10" s="493" t="n"/>
      <c r="L10" s="493" t="n"/>
      <c r="M10" s="493" t="n"/>
      <c r="N10" s="477" t="n"/>
      <c r="O10" s="487" t="n"/>
      <c r="P10" s="450">
        <f>徐钢!H10</f>
        <v/>
      </c>
      <c r="Q10" s="450">
        <f>徐钢!I10</f>
        <v/>
      </c>
      <c r="R10" s="450">
        <f>闽源!H10</f>
        <v/>
      </c>
      <c r="S10" s="450">
        <f>闽源!I10</f>
        <v/>
      </c>
      <c r="T10" s="502">
        <f>长江!H10</f>
        <v/>
      </c>
      <c r="U10" s="503">
        <f>长江!I10</f>
        <v/>
      </c>
      <c r="V10" s="502">
        <f>长江!J10</f>
        <v/>
      </c>
      <c r="W10" s="502">
        <f>长江!K10</f>
        <v/>
      </c>
      <c r="X10" s="502">
        <f>长江!L10</f>
        <v/>
      </c>
      <c r="Y10" s="502">
        <f>长江!M10</f>
        <v/>
      </c>
      <c r="Z10" s="502">
        <f>长江!N10</f>
        <v/>
      </c>
      <c r="AA10" s="502">
        <f>长江!O10</f>
        <v/>
      </c>
      <c r="AB10" s="504">
        <f>萍钢!J10</f>
        <v/>
      </c>
      <c r="AC10" s="504">
        <f>萍钢!K10</f>
        <v/>
      </c>
      <c r="AD10" s="450">
        <f>金虹!H10</f>
        <v/>
      </c>
      <c r="AE10" s="450">
        <f>金虹!I10</f>
        <v/>
      </c>
      <c r="AF10" s="450">
        <f>南钢!H10</f>
        <v/>
      </c>
      <c r="AG10" s="441">
        <f>南钢!I10</f>
        <v/>
      </c>
      <c r="AH10" s="450">
        <f>鄂钢!H10</f>
        <v/>
      </c>
      <c r="AI10" s="450">
        <f>鄂钢!I10</f>
        <v/>
      </c>
      <c r="AJ10" s="450">
        <f>贵航!H10</f>
        <v/>
      </c>
      <c r="AK10" s="450">
        <f>贵航!I10</f>
        <v/>
      </c>
      <c r="AL10" s="504">
        <f>萍钢!H10</f>
        <v/>
      </c>
      <c r="AM10" s="504">
        <f>萍钢!I10</f>
        <v/>
      </c>
      <c r="AN10" s="450">
        <f>桂鑫!H10</f>
        <v/>
      </c>
      <c r="AO10" s="450">
        <f>桂鑫!I10</f>
        <v/>
      </c>
      <c r="AP10" s="504">
        <f>金安!G10</f>
        <v/>
      </c>
      <c r="AQ10" s="504">
        <f>金安!H10</f>
        <v/>
      </c>
      <c r="AR10" s="456">
        <f>马钢!H10</f>
        <v/>
      </c>
      <c r="AS10" s="453">
        <f>马钢!I10</f>
        <v/>
      </c>
      <c r="AT10" s="450">
        <f>中天!H10</f>
        <v/>
      </c>
      <c r="AU10" s="450">
        <f>中天!I10</f>
        <v/>
      </c>
      <c r="AV10" s="450" t="n">
        <v>0</v>
      </c>
      <c r="AW10" s="450" t="n">
        <v>0</v>
      </c>
      <c r="AX10" s="450">
        <f>新兴铸管!H10</f>
        <v/>
      </c>
      <c r="AY10" s="450">
        <f>新兴铸管!I10</f>
        <v/>
      </c>
      <c r="AZ10" s="450">
        <f>新兴铸管!J10</f>
        <v/>
      </c>
      <c r="BA10" s="441">
        <f>新兴铸管!K10</f>
        <v/>
      </c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56">
        <f>马钢!T10</f>
        <v/>
      </c>
      <c r="BQ10" s="453">
        <f>马钢!U10</f>
        <v/>
      </c>
      <c r="BR10" s="450" t="inlineStr">
        <is>
          <t>/</t>
        </is>
      </c>
      <c r="BS10" s="450" t="inlineStr">
        <is>
          <t>/</t>
        </is>
      </c>
      <c r="BT10" s="450" t="n">
        <v>0</v>
      </c>
      <c r="BU10" s="441" t="n">
        <v>0</v>
      </c>
      <c r="BV10" s="450" t="inlineStr">
        <is>
          <t>/</t>
        </is>
      </c>
      <c r="BW10" s="441" t="n">
        <v>0</v>
      </c>
      <c r="BX10" s="450" t="inlineStr">
        <is>
          <t>/</t>
        </is>
      </c>
      <c r="BY10" s="441" t="inlineStr">
        <is>
          <t>/</t>
        </is>
      </c>
      <c r="BZ10" s="450" t="inlineStr">
        <is>
          <t>/</t>
        </is>
      </c>
      <c r="CA10" s="450" t="inlineStr">
        <is>
          <t>/</t>
        </is>
      </c>
      <c r="CB10" s="450" t="inlineStr">
        <is>
          <t>/</t>
        </is>
      </c>
      <c r="CC10" s="450" t="inlineStr">
        <is>
          <t>/</t>
        </is>
      </c>
    </row>
    <row r="11" ht="18" customFormat="1" customHeight="1" s="424">
      <c r="A11" s="539" t="n"/>
      <c r="B11" s="496" t="n">
        <v>10</v>
      </c>
      <c r="C11" s="496" t="n"/>
      <c r="D11" s="486" t="inlineStr">
        <is>
          <t>HPB300</t>
        </is>
      </c>
      <c r="E11" s="493" t="n"/>
      <c r="F11" s="493">
        <f>E11*G11</f>
        <v/>
      </c>
      <c r="G11" s="493" t="n"/>
      <c r="H11" s="477" t="n"/>
      <c r="I11" s="493" t="n"/>
      <c r="J11" s="493" t="n"/>
      <c r="K11" s="493" t="n"/>
      <c r="L11" s="493" t="n"/>
      <c r="M11" s="493" t="n"/>
      <c r="N11" s="477" t="n"/>
      <c r="O11" s="487" t="n"/>
      <c r="P11" s="450">
        <f>徐钢!H11</f>
        <v/>
      </c>
      <c r="Q11" s="450">
        <f>徐钢!I11</f>
        <v/>
      </c>
      <c r="R11" s="450">
        <f>闽源!H11</f>
        <v/>
      </c>
      <c r="S11" s="450">
        <f>闽源!I11</f>
        <v/>
      </c>
      <c r="T11" s="502">
        <f>长江!H11</f>
        <v/>
      </c>
      <c r="U11" s="503">
        <f>长江!I11</f>
        <v/>
      </c>
      <c r="V11" s="502">
        <f>长江!J11</f>
        <v/>
      </c>
      <c r="W11" s="502">
        <f>长江!K11</f>
        <v/>
      </c>
      <c r="X11" s="502">
        <f>长江!L11</f>
        <v/>
      </c>
      <c r="Y11" s="502">
        <f>长江!M11</f>
        <v/>
      </c>
      <c r="Z11" s="502">
        <f>长江!N11</f>
        <v/>
      </c>
      <c r="AA11" s="502">
        <f>长江!O11</f>
        <v/>
      </c>
      <c r="AB11" s="504">
        <f>萍钢!J11</f>
        <v/>
      </c>
      <c r="AC11" s="504">
        <f>萍钢!K11</f>
        <v/>
      </c>
      <c r="AD11" s="450">
        <f>金虹!H11</f>
        <v/>
      </c>
      <c r="AE11" s="450">
        <f>金虹!I11</f>
        <v/>
      </c>
      <c r="AF11" s="450">
        <f>南钢!H11</f>
        <v/>
      </c>
      <c r="AG11" s="441">
        <f>南钢!I11</f>
        <v/>
      </c>
      <c r="AH11" s="450">
        <f>鄂钢!H11</f>
        <v/>
      </c>
      <c r="AI11" s="450">
        <f>鄂钢!I11</f>
        <v/>
      </c>
      <c r="AJ11" s="450">
        <f>贵航!H11</f>
        <v/>
      </c>
      <c r="AK11" s="450">
        <f>贵航!I11</f>
        <v/>
      </c>
      <c r="AL11" s="504">
        <f>萍钢!H11</f>
        <v/>
      </c>
      <c r="AM11" s="504">
        <f>萍钢!I11</f>
        <v/>
      </c>
      <c r="AN11" s="450">
        <f>桂鑫!H11</f>
        <v/>
      </c>
      <c r="AO11" s="450">
        <f>桂鑫!I11</f>
        <v/>
      </c>
      <c r="AP11" s="504">
        <f>金安!G11</f>
        <v/>
      </c>
      <c r="AQ11" s="504">
        <f>金安!H11</f>
        <v/>
      </c>
      <c r="AR11" s="456">
        <f>马钢!H11</f>
        <v/>
      </c>
      <c r="AS11" s="453">
        <f>马钢!I11</f>
        <v/>
      </c>
      <c r="AT11" s="450">
        <f>中天!H11</f>
        <v/>
      </c>
      <c r="AU11" s="450">
        <f>中天!I11</f>
        <v/>
      </c>
      <c r="AV11" s="450" t="n">
        <v>0</v>
      </c>
      <c r="AW11" s="450" t="n">
        <v>0</v>
      </c>
      <c r="AX11" s="450">
        <f>新兴铸管!H11</f>
        <v/>
      </c>
      <c r="AY11" s="450">
        <f>新兴铸管!I11</f>
        <v/>
      </c>
      <c r="AZ11" s="450">
        <f>新兴铸管!J11</f>
        <v/>
      </c>
      <c r="BA11" s="441">
        <f>新兴铸管!K11</f>
        <v/>
      </c>
      <c r="BB11" s="441" t="n"/>
      <c r="BC11" s="441" t="n"/>
      <c r="BD11" s="441" t="n"/>
      <c r="BE11" s="441" t="n"/>
      <c r="BF11" s="441" t="n"/>
      <c r="BG11" s="441" t="n"/>
      <c r="BH11" s="441" t="n"/>
      <c r="BI11" s="441" t="n"/>
      <c r="BJ11" s="441" t="n"/>
      <c r="BK11" s="441" t="n"/>
      <c r="BL11" s="441" t="n"/>
      <c r="BM11" s="441" t="n"/>
      <c r="BN11" s="441" t="n"/>
      <c r="BO11" s="441" t="n"/>
      <c r="BP11" s="456">
        <f>马钢!T11</f>
        <v/>
      </c>
      <c r="BQ11" s="453">
        <f>马钢!U11</f>
        <v/>
      </c>
      <c r="BR11" s="450" t="inlineStr">
        <is>
          <t>/</t>
        </is>
      </c>
      <c r="BS11" s="450" t="inlineStr">
        <is>
          <t>/</t>
        </is>
      </c>
      <c r="BT11" s="450" t="n">
        <v>0</v>
      </c>
      <c r="BU11" s="441" t="n">
        <v>0</v>
      </c>
      <c r="BV11" s="450" t="inlineStr">
        <is>
          <t>/</t>
        </is>
      </c>
      <c r="BW11" s="441" t="inlineStr">
        <is>
          <t xml:space="preserve"> </t>
        </is>
      </c>
      <c r="BX11" s="450" t="inlineStr">
        <is>
          <t>/</t>
        </is>
      </c>
      <c r="BY11" s="441" t="inlineStr">
        <is>
          <t>/</t>
        </is>
      </c>
      <c r="BZ11" s="450" t="inlineStr">
        <is>
          <t>/</t>
        </is>
      </c>
      <c r="CA11" s="450" t="inlineStr">
        <is>
          <t>/</t>
        </is>
      </c>
      <c r="CB11" s="450" t="inlineStr">
        <is>
          <t>/</t>
        </is>
      </c>
      <c r="CC11" s="450" t="inlineStr">
        <is>
          <t>/</t>
        </is>
      </c>
    </row>
    <row r="12" ht="18" customFormat="1" customHeight="1" s="424">
      <c r="A12" s="488" t="inlineStr">
        <is>
          <t xml:space="preserve"> 抗震  三级钢</t>
        </is>
      </c>
      <c r="B12" s="489" t="n">
        <v>6</v>
      </c>
      <c r="C12" s="489" t="n"/>
      <c r="D12" s="490" t="inlineStr">
        <is>
          <t>HRB400E</t>
        </is>
      </c>
      <c r="E12" s="493" t="n">
        <v>12</v>
      </c>
      <c r="F12" s="493">
        <f>E12*G12</f>
        <v/>
      </c>
      <c r="G12" s="499" t="n"/>
      <c r="H12" s="493" t="n"/>
      <c r="I12" s="493" t="n"/>
      <c r="J12" s="492" t="n"/>
      <c r="K12" s="492" t="n"/>
      <c r="L12" s="493" t="n"/>
      <c r="M12" s="489" t="n"/>
      <c r="N12" s="489" t="n"/>
      <c r="O12" s="496" t="n"/>
      <c r="P12" s="450">
        <f>徐钢!H12</f>
        <v/>
      </c>
      <c r="Q12" s="450">
        <f>徐钢!I12</f>
        <v/>
      </c>
      <c r="R12" s="450">
        <f>闽源!H12</f>
        <v/>
      </c>
      <c r="S12" s="450">
        <f>闽源!I12</f>
        <v/>
      </c>
      <c r="T12" s="502">
        <f>长江!H12</f>
        <v/>
      </c>
      <c r="U12" s="503">
        <f>长江!I12</f>
        <v/>
      </c>
      <c r="V12" s="454">
        <f>长江!J12</f>
        <v/>
      </c>
      <c r="W12" s="502">
        <f>长江!K12</f>
        <v/>
      </c>
      <c r="X12" s="502">
        <f>长江!L12</f>
        <v/>
      </c>
      <c r="Y12" s="502">
        <f>长江!M12</f>
        <v/>
      </c>
      <c r="Z12" s="502">
        <f>长江!N12</f>
        <v/>
      </c>
      <c r="AA12" s="502">
        <f>长江!O12</f>
        <v/>
      </c>
      <c r="AB12" s="504">
        <f>萍钢!J12</f>
        <v/>
      </c>
      <c r="AC12" s="504">
        <f>萍钢!K12</f>
        <v/>
      </c>
      <c r="AD12" s="450">
        <f>金虹!H12</f>
        <v/>
      </c>
      <c r="AE12" s="450">
        <f>金虹!I12</f>
        <v/>
      </c>
      <c r="AF12" s="450">
        <f>南钢!H12</f>
        <v/>
      </c>
      <c r="AG12" s="441">
        <f>南钢!I12</f>
        <v/>
      </c>
      <c r="AH12" s="450">
        <f>鄂钢!H12</f>
        <v/>
      </c>
      <c r="AI12" s="450">
        <f>鄂钢!I12</f>
        <v/>
      </c>
      <c r="AJ12" s="450">
        <f>贵航!H12</f>
        <v/>
      </c>
      <c r="AK12" s="450">
        <f>贵航!I12</f>
        <v/>
      </c>
      <c r="AL12" s="504">
        <f>萍钢!H12</f>
        <v/>
      </c>
      <c r="AM12" s="504">
        <f>萍钢!I12</f>
        <v/>
      </c>
      <c r="AN12" s="450">
        <f>桂鑫!H12</f>
        <v/>
      </c>
      <c r="AO12" s="450">
        <f>桂鑫!I12</f>
        <v/>
      </c>
      <c r="AP12" s="504">
        <f>金安!G12</f>
        <v/>
      </c>
      <c r="AQ12" s="504">
        <f>金安!H12</f>
        <v/>
      </c>
      <c r="AR12" s="456">
        <f>马钢!H12</f>
        <v/>
      </c>
      <c r="AS12" s="453">
        <f>马钢!I12</f>
        <v/>
      </c>
      <c r="AT12" s="450">
        <f>中天!H12</f>
        <v/>
      </c>
      <c r="AU12" s="450">
        <f>中天!I12</f>
        <v/>
      </c>
      <c r="AV12" s="450" t="n">
        <v>360</v>
      </c>
      <c r="AW12" s="450" t="n">
        <v>3520</v>
      </c>
      <c r="AX12" s="450">
        <f>新兴铸管!H12</f>
        <v/>
      </c>
      <c r="AY12" s="450">
        <f>新兴铸管!I12</f>
        <v/>
      </c>
      <c r="AZ12" s="450">
        <f>新兴铸管!J12</f>
        <v/>
      </c>
      <c r="BA12" s="441">
        <f>新兴铸管!K12</f>
        <v/>
      </c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56">
        <f>马钢!T12</f>
        <v/>
      </c>
      <c r="BQ12" s="453">
        <f>马钢!U12</f>
        <v/>
      </c>
      <c r="BR12" s="450" t="n">
        <v>420</v>
      </c>
      <c r="BS12" s="450" t="n">
        <v>-120</v>
      </c>
      <c r="BT12" s="450" t="n">
        <v>360</v>
      </c>
      <c r="BU12" s="441" t="n">
        <v>3520</v>
      </c>
      <c r="BV12" s="450" t="n">
        <v>360</v>
      </c>
      <c r="BW12" s="441" t="n">
        <v>-60</v>
      </c>
      <c r="BX12" s="450" t="n">
        <v>470</v>
      </c>
      <c r="BY12" s="441" t="n">
        <v>-170</v>
      </c>
      <c r="BZ12" s="450" t="n">
        <v>300</v>
      </c>
      <c r="CA12" s="450" t="inlineStr">
        <is>
          <t>#VALUE!</t>
        </is>
      </c>
      <c r="CB12" s="450" t="n">
        <v>200</v>
      </c>
      <c r="CC12" s="450" t="inlineStr">
        <is>
          <t>#VALUE!</t>
        </is>
      </c>
    </row>
    <row r="13" ht="18" customFormat="1" customHeight="1" s="424">
      <c r="A13" s="538" t="n"/>
      <c r="B13" s="496" t="n">
        <v>8</v>
      </c>
      <c r="C13" s="496" t="n"/>
      <c r="D13" s="486" t="inlineStr">
        <is>
          <t>HRB400E</t>
        </is>
      </c>
      <c r="E13" s="493" t="n">
        <v>44</v>
      </c>
      <c r="F13" s="493">
        <f>E13*G13</f>
        <v/>
      </c>
      <c r="G13" s="499" t="n"/>
      <c r="H13" s="493" t="n"/>
      <c r="I13" s="493" t="n"/>
      <c r="J13" s="497" t="n"/>
      <c r="K13" s="497" t="n"/>
      <c r="L13" s="493" t="n"/>
      <c r="M13" s="496" t="n"/>
      <c r="N13" s="496" t="n"/>
      <c r="O13" s="496" t="n"/>
      <c r="P13" s="450">
        <f>徐钢!H13</f>
        <v/>
      </c>
      <c r="Q13" s="450">
        <f>徐钢!I13</f>
        <v/>
      </c>
      <c r="R13" s="450">
        <f>闽源!H13</f>
        <v/>
      </c>
      <c r="S13" s="450">
        <f>闽源!I13</f>
        <v/>
      </c>
      <c r="T13" s="502">
        <f>长江!H13</f>
        <v/>
      </c>
      <c r="U13" s="503">
        <f>长江!I13</f>
        <v/>
      </c>
      <c r="V13" s="502">
        <f>长江!J13</f>
        <v/>
      </c>
      <c r="W13" s="502">
        <f>长江!K13</f>
        <v/>
      </c>
      <c r="X13" s="502">
        <f>长江!L13</f>
        <v/>
      </c>
      <c r="Y13" s="502">
        <f>长江!M13</f>
        <v/>
      </c>
      <c r="Z13" s="502">
        <f>长江!N13</f>
        <v/>
      </c>
      <c r="AA13" s="502">
        <f>长江!O13</f>
        <v/>
      </c>
      <c r="AB13" s="504">
        <f>萍钢!J13</f>
        <v/>
      </c>
      <c r="AC13" s="504">
        <f>萍钢!K13</f>
        <v/>
      </c>
      <c r="AD13" s="450">
        <f>金虹!H13</f>
        <v/>
      </c>
      <c r="AE13" s="450">
        <f>金虹!I13</f>
        <v/>
      </c>
      <c r="AF13" s="450">
        <f>南钢!H13</f>
        <v/>
      </c>
      <c r="AG13" s="441">
        <f>南钢!I13</f>
        <v/>
      </c>
      <c r="AH13" s="450">
        <f>鄂钢!H13</f>
        <v/>
      </c>
      <c r="AI13" s="450">
        <f>鄂钢!I13</f>
        <v/>
      </c>
      <c r="AJ13" s="450">
        <f>贵航!H13</f>
        <v/>
      </c>
      <c r="AK13" s="450">
        <f>贵航!I13</f>
        <v/>
      </c>
      <c r="AL13" s="504">
        <f>萍钢!H13</f>
        <v/>
      </c>
      <c r="AM13" s="504">
        <f>萍钢!I13</f>
        <v/>
      </c>
      <c r="AN13" s="450">
        <f>桂鑫!H13</f>
        <v/>
      </c>
      <c r="AO13" s="450">
        <f>桂鑫!I13</f>
        <v/>
      </c>
      <c r="AP13" s="504">
        <f>金安!G13</f>
        <v/>
      </c>
      <c r="AQ13" s="504">
        <f>金安!H13</f>
        <v/>
      </c>
      <c r="AR13" s="456">
        <f>马钢!H13</f>
        <v/>
      </c>
      <c r="AS13" s="453">
        <f>马钢!I13</f>
        <v/>
      </c>
      <c r="AT13" s="450">
        <f>中天!H13</f>
        <v/>
      </c>
      <c r="AU13" s="450">
        <f>中天!I13</f>
        <v/>
      </c>
      <c r="AV13" s="450" t="n">
        <v>0</v>
      </c>
      <c r="AW13" s="450" t="n">
        <v>3520</v>
      </c>
      <c r="AX13" s="450">
        <f>新兴铸管!H13</f>
        <v/>
      </c>
      <c r="AY13" s="450">
        <f>新兴铸管!I13</f>
        <v/>
      </c>
      <c r="AZ13" s="450">
        <f>新兴铸管!J13</f>
        <v/>
      </c>
      <c r="BA13" s="441">
        <f>新兴铸管!K13</f>
        <v/>
      </c>
      <c r="BB13" s="441" t="n"/>
      <c r="BC13" s="441" t="n"/>
      <c r="BD13" s="441" t="n"/>
      <c r="BE13" s="441" t="n"/>
      <c r="BF13" s="441" t="n"/>
      <c r="BG13" s="441" t="n"/>
      <c r="BH13" s="441" t="n"/>
      <c r="BI13" s="441" t="n"/>
      <c r="BJ13" s="441" t="n"/>
      <c r="BK13" s="441" t="n"/>
      <c r="BL13" s="441" t="n"/>
      <c r="BM13" s="441" t="n"/>
      <c r="BN13" s="441" t="n"/>
      <c r="BO13" s="441" t="n"/>
      <c r="BP13" s="456">
        <f>马钢!T13</f>
        <v/>
      </c>
      <c r="BQ13" s="453">
        <f>马钢!U13</f>
        <v/>
      </c>
      <c r="BR13" s="450" t="n">
        <v>120</v>
      </c>
      <c r="BS13" s="450" t="n">
        <v>-120</v>
      </c>
      <c r="BT13" s="450" t="n">
        <v>0</v>
      </c>
      <c r="BU13" s="441" t="n">
        <v>3520</v>
      </c>
      <c r="BV13" s="450" t="n">
        <v>60</v>
      </c>
      <c r="BW13" s="441" t="n">
        <v>-60</v>
      </c>
      <c r="BX13" s="450" t="n">
        <v>120</v>
      </c>
      <c r="BY13" s="441" t="n">
        <v>-120</v>
      </c>
      <c r="BZ13" s="450" t="n">
        <v>160</v>
      </c>
      <c r="CA13" s="450" t="n">
        <v>-160</v>
      </c>
      <c r="CB13" s="450" t="n">
        <v>0</v>
      </c>
      <c r="CC13" s="450" t="n">
        <v>0</v>
      </c>
    </row>
    <row r="14" ht="18" customFormat="1" customHeight="1" s="424">
      <c r="A14" s="538" t="n"/>
      <c r="B14" s="496" t="n">
        <v>10</v>
      </c>
      <c r="C14" s="496" t="n"/>
      <c r="D14" s="486" t="inlineStr">
        <is>
          <t>HRB400E</t>
        </is>
      </c>
      <c r="E14" s="493" t="n">
        <v>12</v>
      </c>
      <c r="F14" s="493">
        <f>E14*G14</f>
        <v/>
      </c>
      <c r="G14" s="499" t="n"/>
      <c r="H14" s="493" t="n"/>
      <c r="I14" s="493" t="n"/>
      <c r="J14" s="497" t="n"/>
      <c r="K14" s="497" t="n"/>
      <c r="L14" s="493" t="n"/>
      <c r="M14" s="496" t="n"/>
      <c r="N14" s="495" t="n"/>
      <c r="O14" s="496" t="n"/>
      <c r="P14" s="450">
        <f>徐钢!H14</f>
        <v/>
      </c>
      <c r="Q14" s="450">
        <f>徐钢!I14</f>
        <v/>
      </c>
      <c r="R14" s="450">
        <f>闽源!H14</f>
        <v/>
      </c>
      <c r="S14" s="450">
        <f>闽源!I14</f>
        <v/>
      </c>
      <c r="T14" s="502">
        <f>长江!H14</f>
        <v/>
      </c>
      <c r="U14" s="503">
        <f>长江!I14</f>
        <v/>
      </c>
      <c r="V14" s="502">
        <f>长江!J14</f>
        <v/>
      </c>
      <c r="W14" s="502">
        <f>长江!K14</f>
        <v/>
      </c>
      <c r="X14" s="502">
        <f>长江!L14</f>
        <v/>
      </c>
      <c r="Y14" s="502">
        <f>长江!M14</f>
        <v/>
      </c>
      <c r="Z14" s="502">
        <f>长江!N14</f>
        <v/>
      </c>
      <c r="AA14" s="502">
        <f>长江!O14</f>
        <v/>
      </c>
      <c r="AB14" s="504">
        <f>萍钢!J14</f>
        <v/>
      </c>
      <c r="AC14" s="504">
        <f>萍钢!K14</f>
        <v/>
      </c>
      <c r="AD14" s="450">
        <f>金虹!H14</f>
        <v/>
      </c>
      <c r="AE14" s="450">
        <f>金虹!I14</f>
        <v/>
      </c>
      <c r="AF14" s="450">
        <f>南钢!H14</f>
        <v/>
      </c>
      <c r="AG14" s="441">
        <f>南钢!I14</f>
        <v/>
      </c>
      <c r="AH14" s="450">
        <f>鄂钢!H14</f>
        <v/>
      </c>
      <c r="AI14" s="450">
        <f>鄂钢!I14</f>
        <v/>
      </c>
      <c r="AJ14" s="450">
        <f>贵航!H14</f>
        <v/>
      </c>
      <c r="AK14" s="450">
        <f>贵航!I14</f>
        <v/>
      </c>
      <c r="AL14" s="504">
        <f>萍钢!H14</f>
        <v/>
      </c>
      <c r="AM14" s="504">
        <f>萍钢!I14</f>
        <v/>
      </c>
      <c r="AN14" s="450">
        <f>桂鑫!H14</f>
        <v/>
      </c>
      <c r="AO14" s="450">
        <f>桂鑫!I14</f>
        <v/>
      </c>
      <c r="AP14" s="504">
        <f>金安!G14</f>
        <v/>
      </c>
      <c r="AQ14" s="504">
        <f>金安!H14</f>
        <v/>
      </c>
      <c r="AR14" s="456">
        <f>马钢!H14</f>
        <v/>
      </c>
      <c r="AS14" s="453">
        <f>马钢!I14</f>
        <v/>
      </c>
      <c r="AT14" s="450">
        <f>中天!H14</f>
        <v/>
      </c>
      <c r="AU14" s="450">
        <f>中天!I14</f>
        <v/>
      </c>
      <c r="AV14" s="450" t="n">
        <v>0</v>
      </c>
      <c r="AW14" s="450" t="n">
        <v>3520</v>
      </c>
      <c r="AX14" s="450">
        <f>新兴铸管!H14</f>
        <v/>
      </c>
      <c r="AY14" s="450">
        <f>新兴铸管!I14</f>
        <v/>
      </c>
      <c r="AZ14" s="450">
        <f>新兴铸管!J14</f>
        <v/>
      </c>
      <c r="BA14" s="441">
        <f>新兴铸管!K14</f>
        <v/>
      </c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56">
        <f>马钢!T14</f>
        <v/>
      </c>
      <c r="BQ14" s="453">
        <f>马钢!U14</f>
        <v/>
      </c>
      <c r="BR14" s="450" t="n">
        <v>120</v>
      </c>
      <c r="BS14" s="450" t="n">
        <v>-120</v>
      </c>
      <c r="BT14" s="450" t="n">
        <v>0</v>
      </c>
      <c r="BU14" s="441" t="n">
        <v>3520</v>
      </c>
      <c r="BV14" s="450" t="n">
        <v>60</v>
      </c>
      <c r="BW14" s="441" t="n">
        <v>-60</v>
      </c>
      <c r="BX14" s="450" t="n">
        <v>120</v>
      </c>
      <c r="BY14" s="441" t="n">
        <v>-120</v>
      </c>
      <c r="BZ14" s="450" t="n">
        <v>160</v>
      </c>
      <c r="CA14" s="450" t="n">
        <v>-160</v>
      </c>
      <c r="CB14" s="450" t="n">
        <v>0</v>
      </c>
      <c r="CC14" s="450" t="n">
        <v>0</v>
      </c>
    </row>
    <row r="15" ht="18" customFormat="1" customHeight="1" s="424">
      <c r="A15" s="538" t="n"/>
      <c r="B15" s="496" t="n">
        <v>10</v>
      </c>
      <c r="C15" s="496" t="n">
        <v>9</v>
      </c>
      <c r="D15" s="486" t="inlineStr">
        <is>
          <t>HRB400E</t>
        </is>
      </c>
      <c r="E15" s="493" t="n"/>
      <c r="F15" s="493">
        <f>E15*G15</f>
        <v/>
      </c>
      <c r="G15" s="499" t="n"/>
      <c r="H15" s="493" t="n"/>
      <c r="I15" s="496" t="n"/>
      <c r="J15" s="493" t="n"/>
      <c r="K15" s="497" t="n"/>
      <c r="L15" s="487" t="n"/>
      <c r="M15" s="496" t="n"/>
      <c r="N15" s="495" t="n"/>
      <c r="O15" s="498" t="n"/>
      <c r="P15" s="450">
        <f>徐钢!H15</f>
        <v/>
      </c>
      <c r="Q15" s="450">
        <f>徐钢!I15</f>
        <v/>
      </c>
      <c r="R15" s="450">
        <f>闽源!H15</f>
        <v/>
      </c>
      <c r="S15" s="450">
        <f>闽源!I15</f>
        <v/>
      </c>
      <c r="T15" s="502">
        <f>长江!H15</f>
        <v/>
      </c>
      <c r="U15" s="503">
        <f>长江!I15</f>
        <v/>
      </c>
      <c r="V15" s="502">
        <f>长江!J15</f>
        <v/>
      </c>
      <c r="W15" s="502">
        <f>长江!K15</f>
        <v/>
      </c>
      <c r="X15" s="502">
        <f>长江!L15</f>
        <v/>
      </c>
      <c r="Y15" s="502">
        <f>长江!M15</f>
        <v/>
      </c>
      <c r="Z15" s="502">
        <f>长江!N15</f>
        <v/>
      </c>
      <c r="AA15" s="502">
        <f>长江!O15</f>
        <v/>
      </c>
      <c r="AB15" s="504">
        <f>萍钢!J15</f>
        <v/>
      </c>
      <c r="AC15" s="504">
        <f>萍钢!K15</f>
        <v/>
      </c>
      <c r="AD15" s="450">
        <f>#REF!</f>
        <v/>
      </c>
      <c r="AE15" s="450">
        <f>金虹!I15</f>
        <v/>
      </c>
      <c r="AF15" s="450">
        <f>南钢!H15</f>
        <v/>
      </c>
      <c r="AG15" s="441">
        <f>南钢!I15</f>
        <v/>
      </c>
      <c r="AH15" s="450">
        <f>鄂钢!H15</f>
        <v/>
      </c>
      <c r="AI15" s="450">
        <f>鄂钢!I15</f>
        <v/>
      </c>
      <c r="AJ15" s="450">
        <f>贵航!H15</f>
        <v/>
      </c>
      <c r="AK15" s="450">
        <f>贵航!I15</f>
        <v/>
      </c>
      <c r="AL15" s="504">
        <f>萍钢!H15</f>
        <v/>
      </c>
      <c r="AM15" s="504">
        <f>萍钢!I15</f>
        <v/>
      </c>
      <c r="AN15" s="450">
        <f>桂鑫!H15</f>
        <v/>
      </c>
      <c r="AO15" s="450">
        <f>桂鑫!I15</f>
        <v/>
      </c>
      <c r="AP15" s="504">
        <f>金安!G15</f>
        <v/>
      </c>
      <c r="AQ15" s="504">
        <f>金安!H15</f>
        <v/>
      </c>
      <c r="AR15" s="456">
        <f>马钢!H15</f>
        <v/>
      </c>
      <c r="AS15" s="453">
        <f>马钢!I15</f>
        <v/>
      </c>
      <c r="AT15" s="450">
        <f>中天!H15</f>
        <v/>
      </c>
      <c r="AU15" s="450">
        <f>中天!I15</f>
        <v/>
      </c>
      <c r="AV15" s="450" t="n">
        <v>0</v>
      </c>
      <c r="AW15" s="450" t="n">
        <v>0</v>
      </c>
      <c r="AX15" s="450">
        <f>新兴铸管!H15</f>
        <v/>
      </c>
      <c r="AY15" s="450">
        <f>新兴铸管!I15</f>
        <v/>
      </c>
      <c r="AZ15" s="450">
        <f>新兴铸管!J15</f>
        <v/>
      </c>
      <c r="BA15" s="441">
        <f>新兴铸管!K15</f>
        <v/>
      </c>
      <c r="BB15" s="441" t="n"/>
      <c r="BC15" s="441" t="n"/>
      <c r="BD15" s="441" t="n"/>
      <c r="BE15" s="441" t="n"/>
      <c r="BF15" s="441" t="n"/>
      <c r="BG15" s="441" t="n"/>
      <c r="BH15" s="441" t="n"/>
      <c r="BI15" s="441" t="n"/>
      <c r="BJ15" s="441" t="n"/>
      <c r="BK15" s="441" t="n"/>
      <c r="BL15" s="441" t="n"/>
      <c r="BM15" s="441" t="n"/>
      <c r="BN15" s="441" t="n"/>
      <c r="BO15" s="441" t="n"/>
      <c r="BP15" s="456">
        <f>马钢!T15</f>
        <v/>
      </c>
      <c r="BQ15" s="453">
        <f>马钢!U15</f>
        <v/>
      </c>
      <c r="BR15" s="450" t="n">
        <v>0</v>
      </c>
      <c r="BS15" s="450" t="n">
        <v>0</v>
      </c>
      <c r="BT15" s="450" t="n">
        <v>0</v>
      </c>
      <c r="BU15" s="441" t="n">
        <v>0</v>
      </c>
      <c r="BV15" s="450" t="n">
        <v>0</v>
      </c>
      <c r="BW15" s="441" t="n">
        <v>0</v>
      </c>
      <c r="BX15" s="450" t="n">
        <v>0</v>
      </c>
      <c r="BY15" s="441" t="inlineStr">
        <is>
          <t>#VALUE!</t>
        </is>
      </c>
      <c r="BZ15" s="450" t="n">
        <v>0</v>
      </c>
      <c r="CA15" s="450" t="n">
        <v>0</v>
      </c>
      <c r="CB15" s="450" t="n">
        <v>0</v>
      </c>
      <c r="CC15" s="450" t="n">
        <v>0</v>
      </c>
    </row>
    <row r="16" ht="18" customFormat="1" customHeight="1" s="424">
      <c r="A16" s="538" t="n"/>
      <c r="B16" s="496" t="n">
        <v>12</v>
      </c>
      <c r="C16" s="496" t="n">
        <v>9</v>
      </c>
      <c r="D16" s="486" t="inlineStr">
        <is>
          <t>HRB400E</t>
        </is>
      </c>
      <c r="E16" s="493" t="n">
        <v>20</v>
      </c>
      <c r="F16" s="493">
        <f>E16*G16</f>
        <v/>
      </c>
      <c r="G16" s="499" t="n"/>
      <c r="H16" s="493" t="n"/>
      <c r="I16" s="496" t="n"/>
      <c r="J16" s="493" t="n"/>
      <c r="K16" s="495" t="n"/>
      <c r="L16" s="496" t="n"/>
      <c r="M16" s="496" t="n"/>
      <c r="N16" s="496" t="n"/>
      <c r="O16" s="498" t="n"/>
      <c r="P16" s="450">
        <f>徐钢!H16</f>
        <v/>
      </c>
      <c r="Q16" s="450">
        <f>徐钢!I16</f>
        <v/>
      </c>
      <c r="R16" s="450">
        <f>闽源!H16</f>
        <v/>
      </c>
      <c r="S16" s="450">
        <f>闽源!I16</f>
        <v/>
      </c>
      <c r="T16" s="502">
        <f>长江!H16</f>
        <v/>
      </c>
      <c r="U16" s="503">
        <f>长江!I16</f>
        <v/>
      </c>
      <c r="V16" s="502">
        <f>长江!J16</f>
        <v/>
      </c>
      <c r="W16" s="502">
        <f>长江!K16</f>
        <v/>
      </c>
      <c r="X16" s="502">
        <f>长江!L16</f>
        <v/>
      </c>
      <c r="Y16" s="502">
        <f>长江!M16</f>
        <v/>
      </c>
      <c r="Z16" s="502">
        <f>长江!N16</f>
        <v/>
      </c>
      <c r="AA16" s="502">
        <f>长江!O16</f>
        <v/>
      </c>
      <c r="AB16" s="504">
        <f>萍钢!J16</f>
        <v/>
      </c>
      <c r="AC16" s="504">
        <f>萍钢!K16</f>
        <v/>
      </c>
      <c r="AD16" s="450">
        <f>金虹!H16</f>
        <v/>
      </c>
      <c r="AE16" s="450">
        <f>金虹!I16</f>
        <v/>
      </c>
      <c r="AF16" s="450">
        <f>南钢!H16</f>
        <v/>
      </c>
      <c r="AG16" s="441">
        <f>南钢!I16</f>
        <v/>
      </c>
      <c r="AH16" s="450">
        <f>鄂钢!H16</f>
        <v/>
      </c>
      <c r="AI16" s="450">
        <f>鄂钢!I16</f>
        <v/>
      </c>
      <c r="AJ16" s="450">
        <f>贵航!H16</f>
        <v/>
      </c>
      <c r="AK16" s="450">
        <f>贵航!I16</f>
        <v/>
      </c>
      <c r="AL16" s="504">
        <f>萍钢!H16</f>
        <v/>
      </c>
      <c r="AM16" s="504">
        <f>萍钢!I16</f>
        <v/>
      </c>
      <c r="AN16" s="450">
        <f>桂鑫!H16</f>
        <v/>
      </c>
      <c r="AO16" s="450">
        <f>桂鑫!I16</f>
        <v/>
      </c>
      <c r="AP16" s="504">
        <f>金安!G16</f>
        <v/>
      </c>
      <c r="AQ16" s="504">
        <f>金安!H16</f>
        <v/>
      </c>
      <c r="AR16" s="456">
        <f>马钢!H16</f>
        <v/>
      </c>
      <c r="AS16" s="453">
        <f>马钢!I16</f>
        <v/>
      </c>
      <c r="AT16" s="450">
        <f>中天!H16</f>
        <v/>
      </c>
      <c r="AU16" s="450">
        <f>中天!I16</f>
        <v/>
      </c>
      <c r="AV16" s="450" t="n">
        <v>90</v>
      </c>
      <c r="AW16" s="450" t="n">
        <v>3410</v>
      </c>
      <c r="AX16" s="450">
        <f>新兴铸管!H16</f>
        <v/>
      </c>
      <c r="AY16" s="450">
        <f>新兴铸管!I16</f>
        <v/>
      </c>
      <c r="AZ16" s="450">
        <f>新兴铸管!J16</f>
        <v/>
      </c>
      <c r="BA16" s="441">
        <f>新兴铸管!K16</f>
        <v/>
      </c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56">
        <f>马钢!T16</f>
        <v/>
      </c>
      <c r="BQ16" s="453">
        <f>马钢!U16</f>
        <v/>
      </c>
      <c r="BR16" s="450" t="n">
        <v>220</v>
      </c>
      <c r="BS16" s="450" t="n">
        <v>-140</v>
      </c>
      <c r="BT16" s="450" t="n">
        <v>90</v>
      </c>
      <c r="BU16" s="441" t="n">
        <v>3410</v>
      </c>
      <c r="BV16" s="450" t="n">
        <v>130</v>
      </c>
      <c r="BW16" s="441" t="n">
        <v>-50</v>
      </c>
      <c r="BX16" s="450" t="n">
        <v>260</v>
      </c>
      <c r="BY16" s="441" t="n">
        <v>-180</v>
      </c>
      <c r="BZ16" s="450" t="n">
        <v>290</v>
      </c>
      <c r="CA16" s="450" t="n">
        <v>-290</v>
      </c>
      <c r="CB16" s="450" t="n">
        <v>100</v>
      </c>
      <c r="CC16" s="450" t="n">
        <v>-100</v>
      </c>
    </row>
    <row r="17" ht="18" customFormat="1" customHeight="1" s="424">
      <c r="A17" s="538" t="n"/>
      <c r="B17" s="496" t="n">
        <v>12</v>
      </c>
      <c r="C17" s="496" t="n">
        <v>12</v>
      </c>
      <c r="D17" s="486" t="inlineStr">
        <is>
          <t>HRB400E</t>
        </is>
      </c>
      <c r="E17" s="493" t="n"/>
      <c r="F17" s="493">
        <f>E17*G17</f>
        <v/>
      </c>
      <c r="G17" s="499" t="n"/>
      <c r="H17" s="493" t="n"/>
      <c r="I17" s="496" t="n"/>
      <c r="J17" s="501" t="n"/>
      <c r="K17" s="497" t="n"/>
      <c r="L17" s="487" t="n"/>
      <c r="M17" s="496" t="n"/>
      <c r="N17" s="496" t="n"/>
      <c r="O17" s="498" t="n"/>
      <c r="P17" s="457">
        <f>徐钢!H17</f>
        <v/>
      </c>
      <c r="Q17" s="450">
        <f>徐钢!I17</f>
        <v/>
      </c>
      <c r="R17" s="450">
        <f>闽源!H17</f>
        <v/>
      </c>
      <c r="S17" s="450">
        <f>闽源!I17</f>
        <v/>
      </c>
      <c r="T17" s="502">
        <f>长江!H17</f>
        <v/>
      </c>
      <c r="U17" s="503">
        <f>长江!I17</f>
        <v/>
      </c>
      <c r="V17" s="502">
        <f>长江!J17</f>
        <v/>
      </c>
      <c r="W17" s="502">
        <f>长江!K17</f>
        <v/>
      </c>
      <c r="X17" s="502">
        <f>长江!L17</f>
        <v/>
      </c>
      <c r="Y17" s="502">
        <f>长江!M17</f>
        <v/>
      </c>
      <c r="Z17" s="502">
        <f>长江!N17</f>
        <v/>
      </c>
      <c r="AA17" s="502">
        <f>长江!O17</f>
        <v/>
      </c>
      <c r="AB17" s="504">
        <f>萍钢!J17</f>
        <v/>
      </c>
      <c r="AC17" s="504">
        <f>萍钢!K17</f>
        <v/>
      </c>
      <c r="AD17" s="450">
        <f>金虹!H17</f>
        <v/>
      </c>
      <c r="AE17" s="450">
        <f>金虹!I17</f>
        <v/>
      </c>
      <c r="AF17" s="450">
        <f>南钢!H17</f>
        <v/>
      </c>
      <c r="AG17" s="441">
        <f>南钢!I17</f>
        <v/>
      </c>
      <c r="AH17" s="450">
        <f>鄂钢!H17</f>
        <v/>
      </c>
      <c r="AI17" s="450">
        <f>鄂钢!I17</f>
        <v/>
      </c>
      <c r="AJ17" s="450">
        <f>贵航!H17</f>
        <v/>
      </c>
      <c r="AK17" s="450">
        <f>贵航!I17</f>
        <v/>
      </c>
      <c r="AL17" s="504">
        <f>萍钢!H17</f>
        <v/>
      </c>
      <c r="AM17" s="504">
        <f>萍钢!I17</f>
        <v/>
      </c>
      <c r="AN17" s="450">
        <f>桂鑫!H17</f>
        <v/>
      </c>
      <c r="AO17" s="450">
        <f>桂鑫!I17</f>
        <v/>
      </c>
      <c r="AP17" s="504">
        <f>金安!G17</f>
        <v/>
      </c>
      <c r="AQ17" s="504">
        <f>金安!H17</f>
        <v/>
      </c>
      <c r="AR17" s="456">
        <f>马钢!H17</f>
        <v/>
      </c>
      <c r="AS17" s="453">
        <f>马钢!I17</f>
        <v/>
      </c>
      <c r="AT17" s="450">
        <f>中天!H17</f>
        <v/>
      </c>
      <c r="AU17" s="450">
        <f>中天!I17</f>
        <v/>
      </c>
      <c r="AV17" s="450" t="n">
        <v>90</v>
      </c>
      <c r="AW17" s="450" t="n">
        <v>3410</v>
      </c>
      <c r="AX17" s="450">
        <f>新兴铸管!H17</f>
        <v/>
      </c>
      <c r="AY17" s="450">
        <f>新兴铸管!I17</f>
        <v/>
      </c>
      <c r="AZ17" s="450">
        <f>新兴铸管!J17</f>
        <v/>
      </c>
      <c r="BA17" s="441">
        <f>新兴铸管!K17</f>
        <v/>
      </c>
      <c r="BB17" s="441" t="n"/>
      <c r="BC17" s="441" t="n"/>
      <c r="BD17" s="441" t="n"/>
      <c r="BE17" s="441" t="n"/>
      <c r="BF17" s="441" t="n"/>
      <c r="BG17" s="441" t="n"/>
      <c r="BH17" s="441" t="n"/>
      <c r="BI17" s="441" t="n"/>
      <c r="BJ17" s="441" t="n"/>
      <c r="BK17" s="441" t="n"/>
      <c r="BL17" s="441" t="n"/>
      <c r="BM17" s="441" t="n"/>
      <c r="BN17" s="441" t="n"/>
      <c r="BO17" s="441" t="n"/>
      <c r="BP17" s="456">
        <f>马钢!T17</f>
        <v/>
      </c>
      <c r="BQ17" s="453">
        <f>马钢!U17</f>
        <v/>
      </c>
      <c r="BR17" s="450" t="n">
        <v>220</v>
      </c>
      <c r="BS17" s="450" t="n">
        <v>-140</v>
      </c>
      <c r="BT17" s="450" t="n">
        <v>90</v>
      </c>
      <c r="BU17" s="441" t="n">
        <v>3410</v>
      </c>
      <c r="BV17" s="450" t="n">
        <v>130</v>
      </c>
      <c r="BW17" s="441" t="n">
        <v>-50</v>
      </c>
      <c r="BX17" s="450" t="n">
        <v>310</v>
      </c>
      <c r="BY17" s="441" t="n">
        <v>-230</v>
      </c>
      <c r="BZ17" s="450" t="n">
        <v>290</v>
      </c>
      <c r="CA17" s="450" t="n">
        <v>-290</v>
      </c>
      <c r="CB17" s="450" t="n">
        <v>100</v>
      </c>
      <c r="CC17" s="450" t="n">
        <v>-100</v>
      </c>
    </row>
    <row r="18" ht="18" customFormat="1" customHeight="1" s="424">
      <c r="A18" s="538" t="n"/>
      <c r="B18" s="496" t="n">
        <v>14</v>
      </c>
      <c r="C18" s="496" t="n">
        <v>9</v>
      </c>
      <c r="D18" s="486" t="inlineStr">
        <is>
          <t>HRB400E</t>
        </is>
      </c>
      <c r="E18" s="493" t="n"/>
      <c r="F18" s="493">
        <f>E18*G18</f>
        <v/>
      </c>
      <c r="G18" s="499" t="n"/>
      <c r="H18" s="493" t="n"/>
      <c r="I18" s="493" t="n"/>
      <c r="J18" s="501" t="n"/>
      <c r="K18" s="497" t="n"/>
      <c r="L18" s="487" t="n"/>
      <c r="M18" s="496" t="n"/>
      <c r="N18" s="496" t="n"/>
      <c r="O18" s="498" t="n"/>
      <c r="P18" s="457">
        <f>徐钢!H18</f>
        <v/>
      </c>
      <c r="Q18" s="450">
        <f>徐钢!I18</f>
        <v/>
      </c>
      <c r="R18" s="450">
        <f>闽源!H18</f>
        <v/>
      </c>
      <c r="S18" s="450">
        <f>闽源!I18</f>
        <v/>
      </c>
      <c r="T18" s="454">
        <f>长江!H18</f>
        <v/>
      </c>
      <c r="U18" s="503">
        <f>长江!I18</f>
        <v/>
      </c>
      <c r="V18" s="502">
        <f>长江!J18</f>
        <v/>
      </c>
      <c r="W18" s="502">
        <f>长江!K18</f>
        <v/>
      </c>
      <c r="X18" s="502">
        <f>长江!L18</f>
        <v/>
      </c>
      <c r="Y18" s="502">
        <f>长江!M18</f>
        <v/>
      </c>
      <c r="Z18" s="502">
        <f>长江!N18</f>
        <v/>
      </c>
      <c r="AA18" s="502">
        <f>长江!O18</f>
        <v/>
      </c>
      <c r="AB18" s="504">
        <f>萍钢!J18</f>
        <v/>
      </c>
      <c r="AC18" s="504">
        <f>萍钢!K18</f>
        <v/>
      </c>
      <c r="AD18" s="450">
        <f>金虹!H18</f>
        <v/>
      </c>
      <c r="AE18" s="450">
        <f>金虹!I18</f>
        <v/>
      </c>
      <c r="AF18" s="450">
        <f>南钢!H18</f>
        <v/>
      </c>
      <c r="AG18" s="441">
        <f>南钢!I18</f>
        <v/>
      </c>
      <c r="AH18" s="450">
        <f>鄂钢!H18</f>
        <v/>
      </c>
      <c r="AI18" s="450">
        <f>鄂钢!I18</f>
        <v/>
      </c>
      <c r="AJ18" s="450">
        <f>贵航!H18</f>
        <v/>
      </c>
      <c r="AK18" s="450">
        <f>贵航!I18</f>
        <v/>
      </c>
      <c r="AL18" s="504">
        <f>萍钢!H18</f>
        <v/>
      </c>
      <c r="AM18" s="504">
        <f>萍钢!I18</f>
        <v/>
      </c>
      <c r="AN18" s="450">
        <f>桂鑫!H18</f>
        <v/>
      </c>
      <c r="AO18" s="450">
        <f>桂鑫!I18</f>
        <v/>
      </c>
      <c r="AP18" s="504">
        <f>金安!G18</f>
        <v/>
      </c>
      <c r="AQ18" s="504">
        <f>金安!H18</f>
        <v/>
      </c>
      <c r="AR18" s="456">
        <f>马钢!H18</f>
        <v/>
      </c>
      <c r="AS18" s="453">
        <f>马钢!I18</f>
        <v/>
      </c>
      <c r="AT18" s="450">
        <f>中天!H18</f>
        <v/>
      </c>
      <c r="AU18" s="450">
        <f>中天!I18</f>
        <v/>
      </c>
      <c r="AV18" s="450" t="n">
        <v>30</v>
      </c>
      <c r="AW18" s="450" t="n">
        <v>3390</v>
      </c>
      <c r="AX18" s="450">
        <f>新兴铸管!H18</f>
        <v/>
      </c>
      <c r="AY18" s="450">
        <f>新兴铸管!I18</f>
        <v/>
      </c>
      <c r="AZ18" s="450">
        <f>新兴铸管!J18</f>
        <v/>
      </c>
      <c r="BA18" s="441">
        <f>新兴铸管!K18</f>
        <v/>
      </c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56">
        <f>马钢!T18</f>
        <v/>
      </c>
      <c r="BQ18" s="453">
        <f>马钢!U18</f>
        <v/>
      </c>
      <c r="BR18" s="450" t="n">
        <v>150</v>
      </c>
      <c r="BS18" s="450" t="n">
        <v>-120</v>
      </c>
      <c r="BT18" s="450" t="n">
        <v>30</v>
      </c>
      <c r="BU18" s="441" t="n">
        <v>3390</v>
      </c>
      <c r="BV18" s="450" t="n">
        <v>90</v>
      </c>
      <c r="BW18" s="441" t="n">
        <v>-60</v>
      </c>
      <c r="BX18" s="450" t="n">
        <v>220</v>
      </c>
      <c r="BY18" s="441" t="n">
        <v>-190</v>
      </c>
      <c r="BZ18" s="450" t="n">
        <v>260</v>
      </c>
      <c r="CA18" s="450" t="n">
        <v>-260</v>
      </c>
      <c r="CB18" s="450" t="n">
        <v>40</v>
      </c>
      <c r="CC18" s="450" t="n">
        <v>-40</v>
      </c>
    </row>
    <row r="19" ht="18" customFormat="1" customHeight="1" s="424">
      <c r="A19" s="538" t="n"/>
      <c r="B19" s="496" t="n">
        <v>14</v>
      </c>
      <c r="C19" s="496" t="n">
        <v>12</v>
      </c>
      <c r="D19" s="486" t="inlineStr">
        <is>
          <t>HRB400E</t>
        </is>
      </c>
      <c r="E19" s="493" t="n"/>
      <c r="F19" s="493">
        <f>E19*G19</f>
        <v/>
      </c>
      <c r="G19" s="499" t="n"/>
      <c r="H19" s="493" t="n"/>
      <c r="I19" s="493" t="n"/>
      <c r="J19" s="501" t="n"/>
      <c r="K19" s="487" t="n"/>
      <c r="L19" s="487" t="n"/>
      <c r="M19" s="496" t="n"/>
      <c r="N19" s="496" t="n"/>
      <c r="O19" s="498" t="n"/>
      <c r="P19" s="450">
        <f>徐钢!H19</f>
        <v/>
      </c>
      <c r="Q19" s="450">
        <f>徐钢!I19</f>
        <v/>
      </c>
      <c r="R19" s="450">
        <f>闽源!H19</f>
        <v/>
      </c>
      <c r="S19" s="450">
        <f>闽源!I19</f>
        <v/>
      </c>
      <c r="T19" s="502">
        <f>长江!H19</f>
        <v/>
      </c>
      <c r="U19" s="503">
        <f>长江!I19</f>
        <v/>
      </c>
      <c r="V19" s="502">
        <f>长江!J19</f>
        <v/>
      </c>
      <c r="W19" s="502">
        <f>长江!K19</f>
        <v/>
      </c>
      <c r="X19" s="502">
        <f>长江!L19</f>
        <v/>
      </c>
      <c r="Y19" s="502">
        <f>长江!M19</f>
        <v/>
      </c>
      <c r="Z19" s="502">
        <f>长江!N19</f>
        <v/>
      </c>
      <c r="AA19" s="502">
        <f>长江!O19</f>
        <v/>
      </c>
      <c r="AB19" s="504">
        <f>萍钢!J19</f>
        <v/>
      </c>
      <c r="AC19" s="504">
        <f>萍钢!K19</f>
        <v/>
      </c>
      <c r="AD19" s="450">
        <f>金虹!H19</f>
        <v/>
      </c>
      <c r="AE19" s="450">
        <f>金虹!I19</f>
        <v/>
      </c>
      <c r="AF19" s="450">
        <f>南钢!H19</f>
        <v/>
      </c>
      <c r="AG19" s="441">
        <f>南钢!I19</f>
        <v/>
      </c>
      <c r="AH19" s="450">
        <f>鄂钢!H19</f>
        <v/>
      </c>
      <c r="AI19" s="450">
        <f>鄂钢!I19</f>
        <v/>
      </c>
      <c r="AJ19" s="450">
        <f>贵航!H19</f>
        <v/>
      </c>
      <c r="AK19" s="450">
        <f>贵航!I19</f>
        <v/>
      </c>
      <c r="AL19" s="504">
        <f>萍钢!H19</f>
        <v/>
      </c>
      <c r="AM19" s="504">
        <f>萍钢!I19</f>
        <v/>
      </c>
      <c r="AN19" s="450">
        <f>桂鑫!H19</f>
        <v/>
      </c>
      <c r="AO19" s="450">
        <f>桂鑫!I19</f>
        <v/>
      </c>
      <c r="AP19" s="504">
        <f>金安!G19</f>
        <v/>
      </c>
      <c r="AQ19" s="504">
        <f>金安!H19</f>
        <v/>
      </c>
      <c r="AR19" s="456">
        <f>马钢!H19</f>
        <v/>
      </c>
      <c r="AS19" s="453">
        <f>马钢!I19</f>
        <v/>
      </c>
      <c r="AT19" s="450">
        <f>中天!H19</f>
        <v/>
      </c>
      <c r="AU19" s="450">
        <f>中天!I19</f>
        <v/>
      </c>
      <c r="AV19" s="450" t="n">
        <v>30</v>
      </c>
      <c r="AW19" s="450" t="n">
        <v>3390</v>
      </c>
      <c r="AX19" s="450">
        <f>新兴铸管!H19</f>
        <v/>
      </c>
      <c r="AY19" s="450">
        <f>新兴铸管!I19</f>
        <v/>
      </c>
      <c r="AZ19" s="450">
        <f>新兴铸管!J19</f>
        <v/>
      </c>
      <c r="BA19" s="441">
        <f>新兴铸管!K19</f>
        <v/>
      </c>
      <c r="BB19" s="441" t="n"/>
      <c r="BC19" s="441" t="n"/>
      <c r="BD19" s="441" t="n"/>
      <c r="BE19" s="441" t="n"/>
      <c r="BF19" s="441" t="n"/>
      <c r="BG19" s="441" t="n"/>
      <c r="BH19" s="441" t="n"/>
      <c r="BI19" s="441" t="n"/>
      <c r="BJ19" s="441" t="n"/>
      <c r="BK19" s="441" t="n"/>
      <c r="BL19" s="441" t="n"/>
      <c r="BM19" s="441" t="n"/>
      <c r="BN19" s="441" t="n"/>
      <c r="BO19" s="441" t="n"/>
      <c r="BP19" s="456">
        <f>马钢!T19</f>
        <v/>
      </c>
      <c r="BQ19" s="453">
        <f>马钢!U19</f>
        <v/>
      </c>
      <c r="BR19" s="450" t="n">
        <v>150</v>
      </c>
      <c r="BS19" s="450" t="n">
        <v>-120</v>
      </c>
      <c r="BT19" s="450" t="n">
        <v>30</v>
      </c>
      <c r="BU19" s="441" t="n">
        <v>3390</v>
      </c>
      <c r="BV19" s="450" t="n">
        <v>90</v>
      </c>
      <c r="BW19" s="441" t="n">
        <v>-60</v>
      </c>
      <c r="BX19" s="450" t="n">
        <v>270</v>
      </c>
      <c r="BY19" s="441" t="n">
        <v>-240</v>
      </c>
      <c r="BZ19" s="450" t="n">
        <v>260</v>
      </c>
      <c r="CA19" s="450" t="n">
        <v>-260</v>
      </c>
      <c r="CB19" s="450" t="n">
        <v>40</v>
      </c>
      <c r="CC19" s="450" t="n">
        <v>-40</v>
      </c>
    </row>
    <row r="20" ht="18" customFormat="1" customHeight="1" s="424">
      <c r="A20" s="538" t="n"/>
      <c r="B20" s="496" t="n">
        <v>16</v>
      </c>
      <c r="C20" s="496" t="n">
        <v>9</v>
      </c>
      <c r="D20" s="486" t="inlineStr">
        <is>
          <t>HRB400E</t>
        </is>
      </c>
      <c r="E20" s="493" t="n"/>
      <c r="F20" s="493">
        <f>E20*G20</f>
        <v/>
      </c>
      <c r="G20" s="499" t="n"/>
      <c r="H20" s="453" t="n"/>
      <c r="I20" s="493" t="n"/>
      <c r="J20" s="501" t="n"/>
      <c r="K20" s="487" t="n"/>
      <c r="L20" s="487" t="n"/>
      <c r="M20" s="493" t="n"/>
      <c r="N20" s="493" t="n"/>
      <c r="O20" s="498" t="n"/>
      <c r="P20" s="450">
        <f>徐钢!H20</f>
        <v/>
      </c>
      <c r="Q20" s="450">
        <f>徐钢!I20</f>
        <v/>
      </c>
      <c r="R20" s="450">
        <f>闽源!H20</f>
        <v/>
      </c>
      <c r="S20" s="450">
        <f>闽源!I20</f>
        <v/>
      </c>
      <c r="T20" s="502">
        <f>长江!H20</f>
        <v/>
      </c>
      <c r="U20" s="503">
        <f>长江!I20</f>
        <v/>
      </c>
      <c r="V20" s="502">
        <f>长江!J20</f>
        <v/>
      </c>
      <c r="W20" s="502">
        <f>长江!K20</f>
        <v/>
      </c>
      <c r="X20" s="502">
        <f>长江!L20</f>
        <v/>
      </c>
      <c r="Y20" s="502">
        <f>长江!M20</f>
        <v/>
      </c>
      <c r="Z20" s="502">
        <f>长江!N20</f>
        <v/>
      </c>
      <c r="AA20" s="502">
        <f>长江!O20</f>
        <v/>
      </c>
      <c r="AB20" s="504">
        <f>萍钢!J20</f>
        <v/>
      </c>
      <c r="AC20" s="504">
        <f>萍钢!K20</f>
        <v/>
      </c>
      <c r="AD20" s="450">
        <f>金虹!H20</f>
        <v/>
      </c>
      <c r="AE20" s="450">
        <f>金虹!I20</f>
        <v/>
      </c>
      <c r="AF20" s="450">
        <f>南钢!H20</f>
        <v/>
      </c>
      <c r="AG20" s="441">
        <f>南钢!I20</f>
        <v/>
      </c>
      <c r="AH20" s="450">
        <f>鄂钢!H20</f>
        <v/>
      </c>
      <c r="AI20" s="450">
        <f>鄂钢!I20</f>
        <v/>
      </c>
      <c r="AJ20" s="450">
        <f>贵航!H20</f>
        <v/>
      </c>
      <c r="AK20" s="450">
        <f>贵航!I20</f>
        <v/>
      </c>
      <c r="AL20" s="504">
        <f>萍钢!H20</f>
        <v/>
      </c>
      <c r="AM20" s="504">
        <f>萍钢!I20</f>
        <v/>
      </c>
      <c r="AN20" s="450">
        <f>桂鑫!H20</f>
        <v/>
      </c>
      <c r="AO20" s="450">
        <f>桂鑫!I20</f>
        <v/>
      </c>
      <c r="AP20" s="504">
        <f>金安!G20</f>
        <v/>
      </c>
      <c r="AQ20" s="504">
        <f>金安!H20</f>
        <v/>
      </c>
      <c r="AR20" s="456">
        <f>马钢!H20</f>
        <v/>
      </c>
      <c r="AS20" s="453">
        <f>马钢!I20</f>
        <v/>
      </c>
      <c r="AT20" s="450">
        <f>中天!H20</f>
        <v/>
      </c>
      <c r="AU20" s="450">
        <f>中天!I20</f>
        <v/>
      </c>
      <c r="AV20" s="450" t="n">
        <v>30</v>
      </c>
      <c r="AW20" s="450" t="n">
        <v>3380</v>
      </c>
      <c r="AX20" s="450">
        <f>新兴铸管!H20</f>
        <v/>
      </c>
      <c r="AY20" s="450">
        <f>新兴铸管!I20</f>
        <v/>
      </c>
      <c r="AZ20" s="450">
        <f>新兴铸管!J20</f>
        <v/>
      </c>
      <c r="BA20" s="441">
        <f>新兴铸管!K20</f>
        <v/>
      </c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56">
        <f>马钢!T20</f>
        <v/>
      </c>
      <c r="BQ20" s="453">
        <f>马钢!U20</f>
        <v/>
      </c>
      <c r="BR20" s="450" t="n">
        <v>150</v>
      </c>
      <c r="BS20" s="450" t="n">
        <v>-150</v>
      </c>
      <c r="BT20" s="450" t="n">
        <v>30</v>
      </c>
      <c r="BU20" s="441" t="n">
        <v>3380</v>
      </c>
      <c r="BV20" s="450" t="n">
        <v>90</v>
      </c>
      <c r="BW20" s="441" t="n">
        <v>-60</v>
      </c>
      <c r="BX20" s="450" t="n">
        <v>220</v>
      </c>
      <c r="BY20" s="441" t="n">
        <v>-190</v>
      </c>
      <c r="BZ20" s="450" t="n">
        <v>240</v>
      </c>
      <c r="CA20" s="450" t="n">
        <v>-220</v>
      </c>
      <c r="CB20" s="450" t="n">
        <v>0</v>
      </c>
      <c r="CC20" s="450" t="n">
        <v>20</v>
      </c>
    </row>
    <row r="21" ht="18" customFormat="1" customHeight="1" s="424">
      <c r="A21" s="538" t="n"/>
      <c r="B21" s="496" t="n">
        <v>16</v>
      </c>
      <c r="C21" s="496" t="n">
        <v>12</v>
      </c>
      <c r="D21" s="486" t="inlineStr">
        <is>
          <t>HRB400E</t>
        </is>
      </c>
      <c r="E21" s="493" t="n"/>
      <c r="F21" s="493">
        <f>E21*G21</f>
        <v/>
      </c>
      <c r="G21" s="499" t="n"/>
      <c r="H21" s="453" t="n"/>
      <c r="I21" s="493" t="n"/>
      <c r="J21" s="501" t="n"/>
      <c r="K21" s="487" t="n"/>
      <c r="L21" s="487" t="n"/>
      <c r="M21" s="493" t="n"/>
      <c r="N21" s="493" t="n"/>
      <c r="O21" s="498" t="n"/>
      <c r="P21" s="450">
        <f>徐钢!H21</f>
        <v/>
      </c>
      <c r="Q21" s="450">
        <f>徐钢!I21</f>
        <v/>
      </c>
      <c r="R21" s="450">
        <f>闽源!H21</f>
        <v/>
      </c>
      <c r="S21" s="450">
        <f>闽源!I21</f>
        <v/>
      </c>
      <c r="T21" s="502">
        <f>长江!H21</f>
        <v/>
      </c>
      <c r="U21" s="503">
        <f>长江!I21</f>
        <v/>
      </c>
      <c r="V21" s="502">
        <f>长江!J21</f>
        <v/>
      </c>
      <c r="W21" s="502">
        <f>长江!K21</f>
        <v/>
      </c>
      <c r="X21" s="502">
        <f>长江!L21</f>
        <v/>
      </c>
      <c r="Y21" s="502">
        <f>长江!M21</f>
        <v/>
      </c>
      <c r="Z21" s="502">
        <f>长江!N21</f>
        <v/>
      </c>
      <c r="AA21" s="502">
        <f>长江!O21</f>
        <v/>
      </c>
      <c r="AB21" s="504">
        <f>萍钢!J21</f>
        <v/>
      </c>
      <c r="AC21" s="504">
        <f>萍钢!K21</f>
        <v/>
      </c>
      <c r="AD21" s="450">
        <f>金虹!H21</f>
        <v/>
      </c>
      <c r="AE21" s="450">
        <f>金虹!I21</f>
        <v/>
      </c>
      <c r="AF21" s="450">
        <f>南钢!H21</f>
        <v/>
      </c>
      <c r="AG21" s="441">
        <f>南钢!I21</f>
        <v/>
      </c>
      <c r="AH21" s="450">
        <f>鄂钢!H21</f>
        <v/>
      </c>
      <c r="AI21" s="450">
        <f>鄂钢!I21</f>
        <v/>
      </c>
      <c r="AJ21" s="450">
        <f>贵航!H21</f>
        <v/>
      </c>
      <c r="AK21" s="450">
        <f>贵航!I21</f>
        <v/>
      </c>
      <c r="AL21" s="504">
        <f>萍钢!H21</f>
        <v/>
      </c>
      <c r="AM21" s="504">
        <f>萍钢!I21</f>
        <v/>
      </c>
      <c r="AN21" s="450">
        <f>桂鑫!H21</f>
        <v/>
      </c>
      <c r="AO21" s="450">
        <f>桂鑫!I21</f>
        <v/>
      </c>
      <c r="AP21" s="504">
        <f>金安!G21</f>
        <v/>
      </c>
      <c r="AQ21" s="504">
        <f>金安!H21</f>
        <v/>
      </c>
      <c r="AR21" s="456">
        <f>马钢!H21</f>
        <v/>
      </c>
      <c r="AS21" s="453">
        <f>马钢!I21</f>
        <v/>
      </c>
      <c r="AT21" s="450">
        <f>中天!H21</f>
        <v/>
      </c>
      <c r="AU21" s="450">
        <f>中天!I21</f>
        <v/>
      </c>
      <c r="AV21" s="450" t="n">
        <v>30</v>
      </c>
      <c r="AW21" s="450" t="n">
        <v>3380</v>
      </c>
      <c r="AX21" s="450">
        <f>新兴铸管!H21</f>
        <v/>
      </c>
      <c r="AY21" s="450">
        <f>新兴铸管!I21</f>
        <v/>
      </c>
      <c r="AZ21" s="450">
        <f>新兴铸管!J21</f>
        <v/>
      </c>
      <c r="BA21" s="441">
        <f>新兴铸管!K21</f>
        <v/>
      </c>
      <c r="BB21" s="441" t="n"/>
      <c r="BC21" s="441" t="n"/>
      <c r="BD21" s="441" t="n"/>
      <c r="BE21" s="441" t="n"/>
      <c r="BF21" s="441" t="n"/>
      <c r="BG21" s="441" t="n"/>
      <c r="BH21" s="441" t="n"/>
      <c r="BI21" s="441" t="n"/>
      <c r="BJ21" s="441" t="n"/>
      <c r="BK21" s="441" t="n"/>
      <c r="BL21" s="441" t="n"/>
      <c r="BM21" s="441" t="n"/>
      <c r="BN21" s="441" t="n"/>
      <c r="BO21" s="441" t="n"/>
      <c r="BP21" s="456">
        <f>马钢!T21</f>
        <v/>
      </c>
      <c r="BQ21" s="453">
        <f>马钢!U21</f>
        <v/>
      </c>
      <c r="BR21" s="450" t="n">
        <v>150</v>
      </c>
      <c r="BS21" s="450" t="n">
        <v>-150</v>
      </c>
      <c r="BT21" s="450" t="n">
        <v>30</v>
      </c>
      <c r="BU21" s="441" t="n">
        <v>3380</v>
      </c>
      <c r="BV21" s="450" t="n">
        <v>90</v>
      </c>
      <c r="BW21" s="441" t="n">
        <v>-60</v>
      </c>
      <c r="BX21" s="450" t="n">
        <v>270</v>
      </c>
      <c r="BY21" s="441" t="n">
        <v>-240</v>
      </c>
      <c r="BZ21" s="450" t="n">
        <v>240</v>
      </c>
      <c r="CA21" s="450" t="n">
        <v>-220</v>
      </c>
      <c r="CB21" s="450" t="n">
        <v>0</v>
      </c>
      <c r="CC21" s="450" t="n">
        <v>20</v>
      </c>
    </row>
    <row r="22" ht="18" customFormat="1" customHeight="1" s="424">
      <c r="A22" s="538" t="n"/>
      <c r="B22" s="496" t="n">
        <v>18</v>
      </c>
      <c r="C22" s="496" t="n">
        <v>9</v>
      </c>
      <c r="D22" s="486" t="inlineStr">
        <is>
          <t>HRB400E</t>
        </is>
      </c>
      <c r="E22" s="493" t="n"/>
      <c r="F22" s="493">
        <f>E22*G22</f>
        <v/>
      </c>
      <c r="G22" s="499" t="n"/>
      <c r="H22" s="477" t="n"/>
      <c r="I22" s="493" t="n"/>
      <c r="J22" s="501" t="n"/>
      <c r="K22" s="487" t="n"/>
      <c r="L22" s="487" t="n"/>
      <c r="M22" s="496" t="n"/>
      <c r="N22" s="496" t="n"/>
      <c r="O22" s="498" t="n"/>
      <c r="P22" s="450">
        <f>徐钢!H22</f>
        <v/>
      </c>
      <c r="Q22" s="450">
        <f>徐钢!I22</f>
        <v/>
      </c>
      <c r="R22" s="450">
        <f>闽源!H22</f>
        <v/>
      </c>
      <c r="S22" s="450">
        <f>闽源!I22</f>
        <v/>
      </c>
      <c r="T22" s="502">
        <f>长江!H22</f>
        <v/>
      </c>
      <c r="U22" s="503">
        <f>长江!I22</f>
        <v/>
      </c>
      <c r="V22" s="502">
        <f>长江!J22</f>
        <v/>
      </c>
      <c r="W22" s="502">
        <f>长江!K22</f>
        <v/>
      </c>
      <c r="X22" s="502">
        <f>长江!L22</f>
        <v/>
      </c>
      <c r="Y22" s="502">
        <f>长江!M22</f>
        <v/>
      </c>
      <c r="Z22" s="502">
        <f>长江!N22</f>
        <v/>
      </c>
      <c r="AA22" s="502">
        <f>长江!O22</f>
        <v/>
      </c>
      <c r="AB22" s="504">
        <f>萍钢!J22</f>
        <v/>
      </c>
      <c r="AC22" s="504">
        <f>萍钢!K22</f>
        <v/>
      </c>
      <c r="AD22" s="450">
        <f>金虹!H22</f>
        <v/>
      </c>
      <c r="AE22" s="450">
        <f>金虹!I22</f>
        <v/>
      </c>
      <c r="AF22" s="450">
        <f>南钢!H22</f>
        <v/>
      </c>
      <c r="AG22" s="441">
        <f>南钢!I22</f>
        <v/>
      </c>
      <c r="AH22" s="450">
        <f>鄂钢!H22</f>
        <v/>
      </c>
      <c r="AI22" s="450">
        <f>鄂钢!I22</f>
        <v/>
      </c>
      <c r="AJ22" s="450">
        <f>贵航!H22</f>
        <v/>
      </c>
      <c r="AK22" s="450">
        <f>贵航!I22</f>
        <v/>
      </c>
      <c r="AL22" s="504">
        <f>萍钢!H22</f>
        <v/>
      </c>
      <c r="AM22" s="504">
        <f>萍钢!I22</f>
        <v/>
      </c>
      <c r="AN22" s="450">
        <f>桂鑫!H22</f>
        <v/>
      </c>
      <c r="AO22" s="450">
        <f>桂鑫!I22</f>
        <v/>
      </c>
      <c r="AP22" s="504">
        <f>金安!G22</f>
        <v/>
      </c>
      <c r="AQ22" s="504">
        <f>金安!H22</f>
        <v/>
      </c>
      <c r="AR22" s="456">
        <f>马钢!H22</f>
        <v/>
      </c>
      <c r="AS22" s="453">
        <f>马钢!I22</f>
        <v/>
      </c>
      <c r="AT22" s="450">
        <f>中天!H22</f>
        <v/>
      </c>
      <c r="AU22" s="450">
        <f>中天!I22</f>
        <v/>
      </c>
      <c r="AV22" s="450" t="n">
        <v>0</v>
      </c>
      <c r="AW22" s="450" t="n">
        <v>3360</v>
      </c>
      <c r="AX22" s="450">
        <f>新兴铸管!H22</f>
        <v/>
      </c>
      <c r="AY22" s="450">
        <f>新兴铸管!I22</f>
        <v/>
      </c>
      <c r="AZ22" s="450">
        <f>新兴铸管!J22</f>
        <v/>
      </c>
      <c r="BA22" s="441">
        <f>新兴铸管!K22</f>
        <v/>
      </c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56">
        <f>马钢!T22</f>
        <v/>
      </c>
      <c r="BQ22" s="453">
        <f>马钢!U22</f>
        <v/>
      </c>
      <c r="BR22" s="450" t="n">
        <v>120</v>
      </c>
      <c r="BS22" s="450" t="n">
        <v>-120</v>
      </c>
      <c r="BT22" s="450" t="n">
        <v>0</v>
      </c>
      <c r="BU22" s="441" t="n">
        <v>3360</v>
      </c>
      <c r="BV22" s="450" t="n">
        <v>90</v>
      </c>
      <c r="BW22" s="441" t="n">
        <v>-90</v>
      </c>
      <c r="BX22" s="450" t="n">
        <v>230</v>
      </c>
      <c r="BY22" s="441" t="n">
        <v>-230</v>
      </c>
      <c r="BZ22" s="450" t="n">
        <v>160</v>
      </c>
      <c r="CA22" s="450" t="n">
        <v>-160</v>
      </c>
      <c r="CB22" s="450" t="n">
        <v>0</v>
      </c>
      <c r="CC22" s="450" t="n">
        <v>0</v>
      </c>
    </row>
    <row r="23" ht="18" customFormat="1" customHeight="1" s="424">
      <c r="A23" s="538" t="n"/>
      <c r="B23" s="496" t="n">
        <v>18</v>
      </c>
      <c r="C23" s="496" t="n">
        <v>12</v>
      </c>
      <c r="D23" s="486" t="inlineStr">
        <is>
          <t>HRB400E</t>
        </is>
      </c>
      <c r="E23" s="493" t="n"/>
      <c r="F23" s="493">
        <f>E23*G23</f>
        <v/>
      </c>
      <c r="G23" s="499" t="n"/>
      <c r="H23" s="477" t="n"/>
      <c r="I23" s="493" t="n"/>
      <c r="J23" s="501" t="n"/>
      <c r="K23" s="487" t="n"/>
      <c r="L23" s="487" t="n"/>
      <c r="M23" s="496" t="n"/>
      <c r="N23" s="496" t="n"/>
      <c r="O23" s="498" t="n"/>
      <c r="P23" s="450">
        <f>徐钢!H23</f>
        <v/>
      </c>
      <c r="Q23" s="450">
        <f>徐钢!I23</f>
        <v/>
      </c>
      <c r="R23" s="450">
        <f>闽源!H23</f>
        <v/>
      </c>
      <c r="S23" s="450">
        <f>闽源!I23</f>
        <v/>
      </c>
      <c r="T23" s="502">
        <f>长江!H23</f>
        <v/>
      </c>
      <c r="U23" s="503">
        <f>长江!I23</f>
        <v/>
      </c>
      <c r="V23" s="502">
        <f>长江!J23</f>
        <v/>
      </c>
      <c r="W23" s="502">
        <f>长江!K23</f>
        <v/>
      </c>
      <c r="X23" s="502">
        <f>长江!L23</f>
        <v/>
      </c>
      <c r="Y23" s="502">
        <f>长江!M23</f>
        <v/>
      </c>
      <c r="Z23" s="502">
        <f>长江!N23</f>
        <v/>
      </c>
      <c r="AA23" s="502">
        <f>长江!O23</f>
        <v/>
      </c>
      <c r="AB23" s="504">
        <f>萍钢!J23</f>
        <v/>
      </c>
      <c r="AC23" s="504">
        <f>萍钢!K23</f>
        <v/>
      </c>
      <c r="AD23" s="450">
        <f>金虹!H23</f>
        <v/>
      </c>
      <c r="AE23" s="450">
        <f>金虹!I23</f>
        <v/>
      </c>
      <c r="AF23" s="450">
        <f>南钢!H23</f>
        <v/>
      </c>
      <c r="AG23" s="441">
        <f>南钢!I23</f>
        <v/>
      </c>
      <c r="AH23" s="450">
        <f>鄂钢!H23</f>
        <v/>
      </c>
      <c r="AI23" s="450">
        <f>鄂钢!I23</f>
        <v/>
      </c>
      <c r="AJ23" s="450">
        <f>贵航!H23</f>
        <v/>
      </c>
      <c r="AK23" s="450">
        <f>贵航!I23</f>
        <v/>
      </c>
      <c r="AL23" s="504">
        <f>萍钢!H23</f>
        <v/>
      </c>
      <c r="AM23" s="504">
        <f>萍钢!I23</f>
        <v/>
      </c>
      <c r="AN23" s="450">
        <f>桂鑫!H23</f>
        <v/>
      </c>
      <c r="AO23" s="450">
        <f>桂鑫!I23</f>
        <v/>
      </c>
      <c r="AP23" s="504">
        <f>金安!G23</f>
        <v/>
      </c>
      <c r="AQ23" s="504">
        <f>金安!H23</f>
        <v/>
      </c>
      <c r="AR23" s="456">
        <f>马钢!H23</f>
        <v/>
      </c>
      <c r="AS23" s="453">
        <f>马钢!I23</f>
        <v/>
      </c>
      <c r="AT23" s="450">
        <f>中天!H23</f>
        <v/>
      </c>
      <c r="AU23" s="450">
        <f>中天!I23</f>
        <v/>
      </c>
      <c r="AV23" s="450" t="n">
        <v>0</v>
      </c>
      <c r="AW23" s="450" t="n">
        <v>3360</v>
      </c>
      <c r="AX23" s="450">
        <f>新兴铸管!H23</f>
        <v/>
      </c>
      <c r="AY23" s="450">
        <f>新兴铸管!I23</f>
        <v/>
      </c>
      <c r="AZ23" s="450">
        <f>新兴铸管!J23</f>
        <v/>
      </c>
      <c r="BA23" s="441">
        <f>新兴铸管!K23</f>
        <v/>
      </c>
      <c r="BB23" s="441" t="n"/>
      <c r="BC23" s="441" t="n"/>
      <c r="BD23" s="441" t="n"/>
      <c r="BE23" s="441" t="n"/>
      <c r="BF23" s="441" t="n"/>
      <c r="BG23" s="441" t="n"/>
      <c r="BH23" s="441" t="n"/>
      <c r="BI23" s="441" t="n"/>
      <c r="BJ23" s="441" t="n"/>
      <c r="BK23" s="441" t="n"/>
      <c r="BL23" s="441" t="n"/>
      <c r="BM23" s="441" t="n"/>
      <c r="BN23" s="441" t="n"/>
      <c r="BO23" s="441" t="n"/>
      <c r="BP23" s="456">
        <f>马钢!T23</f>
        <v/>
      </c>
      <c r="BQ23" s="453">
        <f>马钢!U23</f>
        <v/>
      </c>
      <c r="BR23" s="450" t="n">
        <v>120</v>
      </c>
      <c r="BS23" s="450" t="n">
        <v>-120</v>
      </c>
      <c r="BT23" s="450" t="n">
        <v>0</v>
      </c>
      <c r="BU23" s="441" t="n">
        <v>3360</v>
      </c>
      <c r="BV23" s="450" t="n">
        <v>90</v>
      </c>
      <c r="BW23" s="441" t="n">
        <v>-90</v>
      </c>
      <c r="BX23" s="450" t="n">
        <v>280</v>
      </c>
      <c r="BY23" s="441" t="n">
        <v>-280</v>
      </c>
      <c r="BZ23" s="450" t="n">
        <v>160</v>
      </c>
      <c r="CA23" s="450" t="n">
        <v>-160</v>
      </c>
      <c r="CB23" s="450" t="n">
        <v>0</v>
      </c>
      <c r="CC23" s="450" t="n">
        <v>0</v>
      </c>
    </row>
    <row r="24" ht="18" customFormat="1" customHeight="1" s="424">
      <c r="A24" s="538" t="n"/>
      <c r="B24" s="496" t="n">
        <v>20</v>
      </c>
      <c r="C24" s="496" t="n">
        <v>9</v>
      </c>
      <c r="D24" s="486" t="inlineStr">
        <is>
          <t>HRB400E</t>
        </is>
      </c>
      <c r="E24" s="493" t="n">
        <v>14</v>
      </c>
      <c r="F24" s="493">
        <f>E24*G24</f>
        <v/>
      </c>
      <c r="G24" s="499" t="n"/>
      <c r="H24" s="493" t="n"/>
      <c r="I24" s="493" t="n"/>
      <c r="J24" s="501" t="n"/>
      <c r="K24" s="487" t="n"/>
      <c r="L24" s="487" t="n"/>
      <c r="M24" s="493" t="n"/>
      <c r="N24" s="493" t="n"/>
      <c r="O24" s="498" t="n"/>
      <c r="P24" s="450">
        <f>徐钢!H24</f>
        <v/>
      </c>
      <c r="Q24" s="450">
        <f>徐钢!I24</f>
        <v/>
      </c>
      <c r="R24" s="450">
        <f>闽源!H24</f>
        <v/>
      </c>
      <c r="S24" s="450">
        <f>闽源!I24</f>
        <v/>
      </c>
      <c r="T24" s="502">
        <f>长江!H24</f>
        <v/>
      </c>
      <c r="U24" s="503">
        <f>长江!I24</f>
        <v/>
      </c>
      <c r="V24" s="502">
        <f>长江!J24</f>
        <v/>
      </c>
      <c r="W24" s="502">
        <f>长江!K24</f>
        <v/>
      </c>
      <c r="X24" s="502">
        <f>长江!L24</f>
        <v/>
      </c>
      <c r="Y24" s="502">
        <f>长江!M24</f>
        <v/>
      </c>
      <c r="Z24" s="502">
        <f>长江!N24</f>
        <v/>
      </c>
      <c r="AA24" s="502">
        <f>长江!O24</f>
        <v/>
      </c>
      <c r="AB24" s="504">
        <f>萍钢!J24</f>
        <v/>
      </c>
      <c r="AC24" s="504">
        <f>萍钢!K24</f>
        <v/>
      </c>
      <c r="AD24" s="450">
        <f>金虹!H24</f>
        <v/>
      </c>
      <c r="AE24" s="450">
        <f>金虹!I24</f>
        <v/>
      </c>
      <c r="AF24" s="450">
        <f>南钢!H24</f>
        <v/>
      </c>
      <c r="AG24" s="441">
        <f>南钢!I24</f>
        <v/>
      </c>
      <c r="AH24" s="450">
        <f>鄂钢!H24</f>
        <v/>
      </c>
      <c r="AI24" s="450">
        <f>鄂钢!I24</f>
        <v/>
      </c>
      <c r="AJ24" s="450">
        <f>贵航!H24</f>
        <v/>
      </c>
      <c r="AK24" s="450">
        <f>贵航!I24</f>
        <v/>
      </c>
      <c r="AL24" s="504">
        <f>萍钢!H24</f>
        <v/>
      </c>
      <c r="AM24" s="504">
        <f>萍钢!I24</f>
        <v/>
      </c>
      <c r="AN24" s="450">
        <f>桂鑫!H24</f>
        <v/>
      </c>
      <c r="AO24" s="450">
        <f>桂鑫!I24</f>
        <v/>
      </c>
      <c r="AP24" s="504">
        <f>金安!G24</f>
        <v/>
      </c>
      <c r="AQ24" s="504">
        <f>金安!H24</f>
        <v/>
      </c>
      <c r="AR24" s="456">
        <f>马钢!H24</f>
        <v/>
      </c>
      <c r="AS24" s="453">
        <f>马钢!I24</f>
        <v/>
      </c>
      <c r="AT24" s="450">
        <f>中天!H24</f>
        <v/>
      </c>
      <c r="AU24" s="450">
        <f>中天!I24</f>
        <v/>
      </c>
      <c r="AV24" s="450" t="n">
        <v>50</v>
      </c>
      <c r="AW24" s="450" t="n">
        <v>3360</v>
      </c>
      <c r="AX24" s="450">
        <f>新兴铸管!H24</f>
        <v/>
      </c>
      <c r="AY24" s="450">
        <f>新兴铸管!I24</f>
        <v/>
      </c>
      <c r="AZ24" s="450">
        <f>新兴铸管!J24</f>
        <v/>
      </c>
      <c r="BA24" s="441">
        <f>新兴铸管!K24</f>
        <v/>
      </c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56">
        <f>马钢!T24</f>
        <v/>
      </c>
      <c r="BQ24" s="453">
        <f>马钢!U24</f>
        <v/>
      </c>
      <c r="BR24" s="450" t="n">
        <v>150</v>
      </c>
      <c r="BS24" s="450" t="n">
        <v>-140</v>
      </c>
      <c r="BT24" s="450" t="n">
        <v>50</v>
      </c>
      <c r="BU24" s="441" t="n">
        <v>3360</v>
      </c>
      <c r="BV24" s="450" t="n">
        <v>110</v>
      </c>
      <c r="BW24" s="441" t="n">
        <v>-60</v>
      </c>
      <c r="BX24" s="450" t="n">
        <v>280</v>
      </c>
      <c r="BY24" s="441" t="n">
        <v>-230</v>
      </c>
      <c r="BZ24" s="450" t="n">
        <v>180</v>
      </c>
      <c r="CA24" s="450" t="n">
        <v>-130</v>
      </c>
      <c r="CB24" s="450" t="n">
        <v>0</v>
      </c>
      <c r="CC24" s="450" t="n">
        <v>50</v>
      </c>
    </row>
    <row r="25" ht="18" customFormat="1" customHeight="1" s="424">
      <c r="A25" s="538" t="n"/>
      <c r="B25" s="496" t="n">
        <v>20</v>
      </c>
      <c r="C25" s="496" t="n">
        <v>12</v>
      </c>
      <c r="D25" s="486" t="inlineStr">
        <is>
          <t>HRB400E</t>
        </is>
      </c>
      <c r="E25" s="493" t="n"/>
      <c r="F25" s="493">
        <f>E25*G25</f>
        <v/>
      </c>
      <c r="G25" s="499" t="n"/>
      <c r="H25" s="493" t="n"/>
      <c r="I25" s="493" t="n"/>
      <c r="J25" s="501" t="n"/>
      <c r="K25" s="487" t="n"/>
      <c r="L25" s="487" t="n"/>
      <c r="M25" s="493" t="n"/>
      <c r="N25" s="493" t="n"/>
      <c r="O25" s="498" t="n"/>
      <c r="P25" s="450">
        <f>徐钢!H25</f>
        <v/>
      </c>
      <c r="Q25" s="450">
        <f>徐钢!I25</f>
        <v/>
      </c>
      <c r="R25" s="450">
        <f>闽源!H25</f>
        <v/>
      </c>
      <c r="S25" s="450">
        <f>闽源!I25</f>
        <v/>
      </c>
      <c r="T25" s="502">
        <f>长江!H25</f>
        <v/>
      </c>
      <c r="U25" s="503">
        <f>长江!I25</f>
        <v/>
      </c>
      <c r="V25" s="502">
        <f>长江!J25</f>
        <v/>
      </c>
      <c r="W25" s="502">
        <f>长江!K25</f>
        <v/>
      </c>
      <c r="X25" s="502">
        <f>长江!L25</f>
        <v/>
      </c>
      <c r="Y25" s="502">
        <f>长江!M25</f>
        <v/>
      </c>
      <c r="Z25" s="502">
        <f>长江!N25</f>
        <v/>
      </c>
      <c r="AA25" s="502">
        <f>长江!O25</f>
        <v/>
      </c>
      <c r="AB25" s="504">
        <f>萍钢!J25</f>
        <v/>
      </c>
      <c r="AC25" s="504">
        <f>萍钢!K25</f>
        <v/>
      </c>
      <c r="AD25" s="450">
        <f>金虹!H25</f>
        <v/>
      </c>
      <c r="AE25" s="450">
        <f>金虹!I25</f>
        <v/>
      </c>
      <c r="AF25" s="450">
        <f>南钢!H25</f>
        <v/>
      </c>
      <c r="AG25" s="441">
        <f>南钢!I25</f>
        <v/>
      </c>
      <c r="AH25" s="450">
        <f>鄂钢!H25</f>
        <v/>
      </c>
      <c r="AI25" s="450">
        <f>鄂钢!I25</f>
        <v/>
      </c>
      <c r="AJ25" s="450">
        <f>贵航!H25</f>
        <v/>
      </c>
      <c r="AK25" s="450">
        <f>贵航!I25</f>
        <v/>
      </c>
      <c r="AL25" s="504">
        <f>萍钢!H25</f>
        <v/>
      </c>
      <c r="AM25" s="504">
        <f>萍钢!I25</f>
        <v/>
      </c>
      <c r="AN25" s="450">
        <f>桂鑫!H25</f>
        <v/>
      </c>
      <c r="AO25" s="450">
        <f>桂鑫!I25</f>
        <v/>
      </c>
      <c r="AP25" s="504">
        <f>金安!G25</f>
        <v/>
      </c>
      <c r="AQ25" s="504">
        <f>金安!H25</f>
        <v/>
      </c>
      <c r="AR25" s="456">
        <f>马钢!H25</f>
        <v/>
      </c>
      <c r="AS25" s="453">
        <f>马钢!I25</f>
        <v/>
      </c>
      <c r="AT25" s="450">
        <f>中天!H25</f>
        <v/>
      </c>
      <c r="AU25" s="450">
        <f>中天!I25</f>
        <v/>
      </c>
      <c r="AV25" s="450" t="n">
        <v>50</v>
      </c>
      <c r="AW25" s="450" t="n">
        <v>3360</v>
      </c>
      <c r="AX25" s="450">
        <f>新兴铸管!H25</f>
        <v/>
      </c>
      <c r="AY25" s="450">
        <f>新兴铸管!I25</f>
        <v/>
      </c>
      <c r="AZ25" s="450">
        <f>新兴铸管!J25</f>
        <v/>
      </c>
      <c r="BA25" s="441">
        <f>新兴铸管!K25</f>
        <v/>
      </c>
      <c r="BB25" s="441" t="n"/>
      <c r="BC25" s="441" t="n"/>
      <c r="BD25" s="441" t="n"/>
      <c r="BE25" s="441" t="n"/>
      <c r="BF25" s="441" t="n"/>
      <c r="BG25" s="441" t="n"/>
      <c r="BH25" s="441" t="n"/>
      <c r="BI25" s="441" t="n"/>
      <c r="BJ25" s="441" t="n"/>
      <c r="BK25" s="441" t="n"/>
      <c r="BL25" s="441" t="n"/>
      <c r="BM25" s="441" t="n"/>
      <c r="BN25" s="441" t="n"/>
      <c r="BO25" s="441" t="n"/>
      <c r="BP25" s="456">
        <f>马钢!T25</f>
        <v/>
      </c>
      <c r="BQ25" s="453">
        <f>马钢!U25</f>
        <v/>
      </c>
      <c r="BR25" s="450" t="n">
        <v>150</v>
      </c>
      <c r="BS25" s="450" t="n">
        <v>-140</v>
      </c>
      <c r="BT25" s="450" t="n">
        <v>50</v>
      </c>
      <c r="BU25" s="441" t="n">
        <v>3360</v>
      </c>
      <c r="BV25" s="450" t="n">
        <v>110</v>
      </c>
      <c r="BW25" s="441" t="n">
        <v>-60</v>
      </c>
      <c r="BX25" s="450" t="n">
        <v>330</v>
      </c>
      <c r="BY25" s="441" t="n">
        <v>-280</v>
      </c>
      <c r="BZ25" s="450" t="n">
        <v>180</v>
      </c>
      <c r="CA25" s="450" t="n">
        <v>-130</v>
      </c>
      <c r="CB25" s="450" t="n">
        <v>0</v>
      </c>
      <c r="CC25" s="450" t="n">
        <v>50</v>
      </c>
    </row>
    <row r="26" ht="18" customFormat="1" customHeight="1" s="424">
      <c r="A26" s="538" t="n"/>
      <c r="B26" s="496" t="n">
        <v>22</v>
      </c>
      <c r="C26" s="496" t="n">
        <v>9</v>
      </c>
      <c r="D26" s="486" t="inlineStr">
        <is>
          <t>HRB400E</t>
        </is>
      </c>
      <c r="E26" s="493" t="n"/>
      <c r="F26" s="493">
        <f>E26*G26</f>
        <v/>
      </c>
      <c r="G26" s="499" t="n"/>
      <c r="H26" s="493" t="n"/>
      <c r="I26" s="493" t="n"/>
      <c r="J26" s="501" t="n"/>
      <c r="K26" s="487" t="n"/>
      <c r="L26" s="487" t="n"/>
      <c r="M26" s="493" t="n"/>
      <c r="N26" s="493" t="n"/>
      <c r="O26" s="498" t="n"/>
      <c r="P26" s="457">
        <f>徐钢!H26</f>
        <v/>
      </c>
      <c r="Q26" s="450">
        <f>徐钢!I26</f>
        <v/>
      </c>
      <c r="R26" s="450">
        <f>闽源!H26</f>
        <v/>
      </c>
      <c r="S26" s="450">
        <f>闽源!I26</f>
        <v/>
      </c>
      <c r="T26" s="502">
        <f>长江!H26</f>
        <v/>
      </c>
      <c r="U26" s="503">
        <f>长江!I26</f>
        <v/>
      </c>
      <c r="V26" s="502">
        <f>长江!J26</f>
        <v/>
      </c>
      <c r="W26" s="502">
        <f>长江!K26</f>
        <v/>
      </c>
      <c r="X26" s="502">
        <f>长江!L26</f>
        <v/>
      </c>
      <c r="Y26" s="502">
        <f>长江!M26</f>
        <v/>
      </c>
      <c r="Z26" s="502">
        <f>长江!N26</f>
        <v/>
      </c>
      <c r="AA26" s="502">
        <f>长江!O26</f>
        <v/>
      </c>
      <c r="AB26" s="504">
        <f>萍钢!J26</f>
        <v/>
      </c>
      <c r="AC26" s="504">
        <f>萍钢!K26</f>
        <v/>
      </c>
      <c r="AD26" s="450">
        <f>金虹!H26</f>
        <v/>
      </c>
      <c r="AE26" s="450">
        <f>金虹!I26</f>
        <v/>
      </c>
      <c r="AF26" s="450">
        <f>南钢!H26</f>
        <v/>
      </c>
      <c r="AG26" s="441">
        <f>南钢!I26</f>
        <v/>
      </c>
      <c r="AH26" s="450">
        <f>鄂钢!H26</f>
        <v/>
      </c>
      <c r="AI26" s="450">
        <f>鄂钢!I26</f>
        <v/>
      </c>
      <c r="AJ26" s="450">
        <f>贵航!H26</f>
        <v/>
      </c>
      <c r="AK26" s="450">
        <f>贵航!I26</f>
        <v/>
      </c>
      <c r="AL26" s="504">
        <f>萍钢!H26</f>
        <v/>
      </c>
      <c r="AM26" s="504">
        <f>萍钢!I26</f>
        <v/>
      </c>
      <c r="AN26" s="450">
        <f>桂鑫!H26</f>
        <v/>
      </c>
      <c r="AO26" s="450">
        <f>桂鑫!I26</f>
        <v/>
      </c>
      <c r="AP26" s="504">
        <f>金安!G26</f>
        <v/>
      </c>
      <c r="AQ26" s="504">
        <f>金安!H26</f>
        <v/>
      </c>
      <c r="AR26" s="456">
        <f>马钢!H26</f>
        <v/>
      </c>
      <c r="AS26" s="453">
        <f>马钢!I26</f>
        <v/>
      </c>
      <c r="AT26" s="450">
        <f>中天!H26</f>
        <v/>
      </c>
      <c r="AU26" s="450">
        <f>中天!I26</f>
        <v/>
      </c>
      <c r="AV26" s="450" t="n">
        <v>50</v>
      </c>
      <c r="AW26" s="450" t="n">
        <v>3360</v>
      </c>
      <c r="AX26" s="450">
        <f>新兴铸管!H26</f>
        <v/>
      </c>
      <c r="AY26" s="450">
        <f>新兴铸管!I26</f>
        <v/>
      </c>
      <c r="AZ26" s="450">
        <f>新兴铸管!J26</f>
        <v/>
      </c>
      <c r="BA26" s="441">
        <f>新兴铸管!K26</f>
        <v/>
      </c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56">
        <f>马钢!T26</f>
        <v/>
      </c>
      <c r="BQ26" s="453">
        <f>马钢!U26</f>
        <v/>
      </c>
      <c r="BR26" s="450" t="n">
        <v>150</v>
      </c>
      <c r="BS26" s="450" t="n">
        <v>-120</v>
      </c>
      <c r="BT26" s="450" t="n">
        <v>50</v>
      </c>
      <c r="BU26" s="441" t="n">
        <v>3360</v>
      </c>
      <c r="BV26" s="450" t="n">
        <v>110</v>
      </c>
      <c r="BW26" s="441" t="n">
        <v>-60</v>
      </c>
      <c r="BX26" s="450" t="n">
        <v>220</v>
      </c>
      <c r="BY26" s="441" t="n">
        <v>-170</v>
      </c>
      <c r="BZ26" s="450" t="n">
        <v>180</v>
      </c>
      <c r="CA26" s="450" t="n">
        <v>-130</v>
      </c>
      <c r="CB26" s="450" t="n">
        <v>0</v>
      </c>
      <c r="CC26" s="450" t="n">
        <v>50</v>
      </c>
    </row>
    <row r="27" ht="18" customFormat="1" customHeight="1" s="424">
      <c r="A27" s="538" t="n"/>
      <c r="B27" s="496" t="n">
        <v>22</v>
      </c>
      <c r="C27" s="496" t="n">
        <v>12</v>
      </c>
      <c r="D27" s="486" t="inlineStr">
        <is>
          <t>HRB400E</t>
        </is>
      </c>
      <c r="E27" s="493" t="n"/>
      <c r="F27" s="493">
        <f>E27*G27</f>
        <v/>
      </c>
      <c r="G27" s="499" t="n"/>
      <c r="H27" s="493" t="n"/>
      <c r="I27" s="493" t="n"/>
      <c r="J27" s="501" t="n"/>
      <c r="K27" s="487" t="n"/>
      <c r="L27" s="487" t="n"/>
      <c r="M27" s="493" t="n"/>
      <c r="N27" s="493" t="n"/>
      <c r="O27" s="498" t="n"/>
      <c r="P27" s="450">
        <f>徐钢!H27</f>
        <v/>
      </c>
      <c r="Q27" s="450">
        <f>徐钢!I27</f>
        <v/>
      </c>
      <c r="R27" s="450">
        <f>闽源!H27</f>
        <v/>
      </c>
      <c r="S27" s="450">
        <f>闽源!I27</f>
        <v/>
      </c>
      <c r="T27" s="502">
        <f>长江!H27</f>
        <v/>
      </c>
      <c r="U27" s="503">
        <f>长江!I27</f>
        <v/>
      </c>
      <c r="V27" s="502">
        <f>长江!J27</f>
        <v/>
      </c>
      <c r="W27" s="502">
        <f>长江!K27</f>
        <v/>
      </c>
      <c r="X27" s="502">
        <f>长江!L27</f>
        <v/>
      </c>
      <c r="Y27" s="502">
        <f>长江!M27</f>
        <v/>
      </c>
      <c r="Z27" s="502">
        <f>长江!N27</f>
        <v/>
      </c>
      <c r="AA27" s="502">
        <f>长江!O27</f>
        <v/>
      </c>
      <c r="AB27" s="504">
        <f>萍钢!J27</f>
        <v/>
      </c>
      <c r="AC27" s="504">
        <f>萍钢!K27</f>
        <v/>
      </c>
      <c r="AD27" s="450">
        <f>金虹!H27</f>
        <v/>
      </c>
      <c r="AE27" s="450">
        <f>金虹!I27</f>
        <v/>
      </c>
      <c r="AF27" s="450">
        <f>南钢!H27</f>
        <v/>
      </c>
      <c r="AG27" s="441">
        <f>南钢!I27</f>
        <v/>
      </c>
      <c r="AH27" s="450">
        <f>鄂钢!H27</f>
        <v/>
      </c>
      <c r="AI27" s="450">
        <f>鄂钢!I27</f>
        <v/>
      </c>
      <c r="AJ27" s="450">
        <f>贵航!H27</f>
        <v/>
      </c>
      <c r="AK27" s="450">
        <f>贵航!I27</f>
        <v/>
      </c>
      <c r="AL27" s="504">
        <f>萍钢!H27</f>
        <v/>
      </c>
      <c r="AM27" s="504">
        <f>萍钢!I27</f>
        <v/>
      </c>
      <c r="AN27" s="450">
        <f>桂鑫!H27</f>
        <v/>
      </c>
      <c r="AO27" s="450">
        <f>桂鑫!I27</f>
        <v/>
      </c>
      <c r="AP27" s="504">
        <f>金安!G27</f>
        <v/>
      </c>
      <c r="AQ27" s="504">
        <f>金安!H27</f>
        <v/>
      </c>
      <c r="AR27" s="456">
        <f>马钢!H27</f>
        <v/>
      </c>
      <c r="AS27" s="453">
        <f>马钢!I27</f>
        <v/>
      </c>
      <c r="AT27" s="450">
        <f>中天!H27</f>
        <v/>
      </c>
      <c r="AU27" s="450">
        <f>中天!I27</f>
        <v/>
      </c>
      <c r="AV27" s="450" t="n">
        <v>50</v>
      </c>
      <c r="AW27" s="450" t="n">
        <v>3360</v>
      </c>
      <c r="AX27" s="450">
        <f>新兴铸管!H27</f>
        <v/>
      </c>
      <c r="AY27" s="450">
        <f>新兴铸管!I27</f>
        <v/>
      </c>
      <c r="AZ27" s="450">
        <f>新兴铸管!J27</f>
        <v/>
      </c>
      <c r="BA27" s="441">
        <f>新兴铸管!K27</f>
        <v/>
      </c>
      <c r="BB27" s="441" t="n"/>
      <c r="BC27" s="441" t="n"/>
      <c r="BD27" s="441" t="n"/>
      <c r="BE27" s="441" t="n"/>
      <c r="BF27" s="441" t="n"/>
      <c r="BG27" s="441" t="n"/>
      <c r="BH27" s="441" t="n"/>
      <c r="BI27" s="441" t="n"/>
      <c r="BJ27" s="441" t="n"/>
      <c r="BK27" s="441" t="n"/>
      <c r="BL27" s="441" t="n"/>
      <c r="BM27" s="441" t="n"/>
      <c r="BN27" s="441" t="n"/>
      <c r="BO27" s="441" t="n"/>
      <c r="BP27" s="456">
        <f>马钢!T27</f>
        <v/>
      </c>
      <c r="BQ27" s="453">
        <f>马钢!U27</f>
        <v/>
      </c>
      <c r="BR27" s="450" t="n">
        <v>150</v>
      </c>
      <c r="BS27" s="450" t="n">
        <v>-120</v>
      </c>
      <c r="BT27" s="450" t="n">
        <v>50</v>
      </c>
      <c r="BU27" s="441" t="n">
        <v>3360</v>
      </c>
      <c r="BV27" s="450" t="n">
        <v>110</v>
      </c>
      <c r="BW27" s="441" t="n">
        <v>-60</v>
      </c>
      <c r="BX27" s="450" t="n">
        <v>270</v>
      </c>
      <c r="BY27" s="441" t="n">
        <v>-220</v>
      </c>
      <c r="BZ27" s="450" t="n">
        <v>180</v>
      </c>
      <c r="CA27" s="450" t="n">
        <v>-130</v>
      </c>
      <c r="CB27" s="450" t="n">
        <v>0</v>
      </c>
      <c r="CC27" s="450" t="n">
        <v>50</v>
      </c>
    </row>
    <row r="28" ht="18" customFormat="1" customHeight="1" s="424">
      <c r="A28" s="538" t="n"/>
      <c r="B28" s="496" t="n">
        <v>25</v>
      </c>
      <c r="C28" s="496" t="n">
        <v>9</v>
      </c>
      <c r="D28" s="486" t="inlineStr">
        <is>
          <t>HRB400E</t>
        </is>
      </c>
      <c r="E28" s="493" t="n"/>
      <c r="F28" s="493">
        <f>E28*G28</f>
        <v/>
      </c>
      <c r="G28" s="499" t="n"/>
      <c r="H28" s="493" t="n"/>
      <c r="I28" s="493" t="n"/>
      <c r="J28" s="501" t="n"/>
      <c r="K28" s="487" t="n"/>
      <c r="L28" s="493" t="n"/>
      <c r="M28" s="496" t="n"/>
      <c r="N28" s="496" t="n"/>
      <c r="O28" s="498" t="n"/>
      <c r="P28" s="450">
        <f>徐钢!H28</f>
        <v/>
      </c>
      <c r="Q28" s="450">
        <f>徐钢!I28</f>
        <v/>
      </c>
      <c r="R28" s="450">
        <f>闽源!H28</f>
        <v/>
      </c>
      <c r="S28" s="450">
        <f>闽源!I28</f>
        <v/>
      </c>
      <c r="T28" s="502">
        <f>长江!H28</f>
        <v/>
      </c>
      <c r="U28" s="503">
        <f>长江!I28</f>
        <v/>
      </c>
      <c r="V28" s="502">
        <f>长江!J28</f>
        <v/>
      </c>
      <c r="W28" s="502">
        <f>长江!K28</f>
        <v/>
      </c>
      <c r="X28" s="502">
        <f>长江!L28</f>
        <v/>
      </c>
      <c r="Y28" s="502">
        <f>长江!M28</f>
        <v/>
      </c>
      <c r="Z28" s="502">
        <f>长江!N28</f>
        <v/>
      </c>
      <c r="AA28" s="502">
        <f>长江!O28</f>
        <v/>
      </c>
      <c r="AB28" s="504">
        <f>萍钢!J28</f>
        <v/>
      </c>
      <c r="AC28" s="504">
        <f>萍钢!K28</f>
        <v/>
      </c>
      <c r="AD28" s="450">
        <f>金虹!H28</f>
        <v/>
      </c>
      <c r="AE28" s="450">
        <f>金虹!I28</f>
        <v/>
      </c>
      <c r="AF28" s="450">
        <f>南钢!H28</f>
        <v/>
      </c>
      <c r="AG28" s="441">
        <f>南钢!I28</f>
        <v/>
      </c>
      <c r="AH28" s="450">
        <f>鄂钢!H28</f>
        <v/>
      </c>
      <c r="AI28" s="450">
        <f>鄂钢!I28</f>
        <v/>
      </c>
      <c r="AJ28" s="450">
        <f>贵航!H28</f>
        <v/>
      </c>
      <c r="AK28" s="450">
        <f>贵航!I28</f>
        <v/>
      </c>
      <c r="AL28" s="504">
        <f>萍钢!H28</f>
        <v/>
      </c>
      <c r="AM28" s="504">
        <f>萍钢!I28</f>
        <v/>
      </c>
      <c r="AN28" s="450">
        <f>桂鑫!H28</f>
        <v/>
      </c>
      <c r="AO28" s="450">
        <f>桂鑫!I28</f>
        <v/>
      </c>
      <c r="AP28" s="504">
        <f>金安!G28</f>
        <v/>
      </c>
      <c r="AQ28" s="504">
        <f>金安!H28</f>
        <v/>
      </c>
      <c r="AR28" s="456">
        <f>马钢!H28</f>
        <v/>
      </c>
      <c r="AS28" s="453">
        <f>马钢!I28</f>
        <v/>
      </c>
      <c r="AT28" s="450">
        <f>中天!H28</f>
        <v/>
      </c>
      <c r="AU28" s="450">
        <f>中天!I28</f>
        <v/>
      </c>
      <c r="AV28" s="450" t="n">
        <v>80</v>
      </c>
      <c r="AW28" s="450" t="n">
        <v>3360</v>
      </c>
      <c r="AX28" s="450">
        <f>新兴铸管!H28</f>
        <v/>
      </c>
      <c r="AY28" s="450">
        <f>新兴铸管!I28</f>
        <v/>
      </c>
      <c r="AZ28" s="450">
        <f>新兴铸管!J28</f>
        <v/>
      </c>
      <c r="BA28" s="441">
        <f>新兴铸管!K28</f>
        <v/>
      </c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56">
        <f>马钢!T28</f>
        <v/>
      </c>
      <c r="BQ28" s="453">
        <f>马钢!U28</f>
        <v/>
      </c>
      <c r="BR28" s="450" t="n">
        <v>170</v>
      </c>
      <c r="BS28" s="450" t="n">
        <v>-140</v>
      </c>
      <c r="BT28" s="450" t="n">
        <v>80</v>
      </c>
      <c r="BU28" s="441" t="n">
        <v>3360</v>
      </c>
      <c r="BV28" s="450" t="n">
        <v>120</v>
      </c>
      <c r="BW28" s="441" t="n">
        <v>-40</v>
      </c>
      <c r="BX28" s="450" t="n">
        <v>240</v>
      </c>
      <c r="BY28" s="441" t="n">
        <v>-160</v>
      </c>
      <c r="BZ28" s="450" t="n">
        <v>220</v>
      </c>
      <c r="CA28" s="450" t="n">
        <v>-150</v>
      </c>
      <c r="CB28" s="450" t="n">
        <v>0</v>
      </c>
      <c r="CC28" s="450" t="n">
        <v>70</v>
      </c>
    </row>
    <row r="29" ht="18" customFormat="1" customHeight="1" s="424">
      <c r="A29" s="538" t="n"/>
      <c r="B29" s="496" t="n">
        <v>25</v>
      </c>
      <c r="C29" s="496" t="n">
        <v>12</v>
      </c>
      <c r="D29" s="486" t="inlineStr">
        <is>
          <t>HRB400E</t>
        </is>
      </c>
      <c r="E29" s="493" t="n"/>
      <c r="F29" s="493">
        <f>E29*G29</f>
        <v/>
      </c>
      <c r="G29" s="499" t="n"/>
      <c r="H29" s="493" t="n"/>
      <c r="I29" s="493" t="n"/>
      <c r="J29" s="487" t="n"/>
      <c r="K29" s="487" t="n"/>
      <c r="L29" s="493" t="n"/>
      <c r="M29" s="496" t="n"/>
      <c r="N29" s="496" t="n"/>
      <c r="O29" s="496" t="n"/>
      <c r="P29" s="450">
        <f>徐钢!H29</f>
        <v/>
      </c>
      <c r="Q29" s="450">
        <f>徐钢!I29</f>
        <v/>
      </c>
      <c r="R29" s="450">
        <f>闽源!H29</f>
        <v/>
      </c>
      <c r="S29" s="450">
        <f>闽源!I29</f>
        <v/>
      </c>
      <c r="T29" s="502">
        <f>长江!H29</f>
        <v/>
      </c>
      <c r="U29" s="503">
        <f>长江!I29</f>
        <v/>
      </c>
      <c r="V29" s="502">
        <f>长江!J29</f>
        <v/>
      </c>
      <c r="W29" s="502">
        <f>长江!K29</f>
        <v/>
      </c>
      <c r="X29" s="502">
        <f>长江!L29</f>
        <v/>
      </c>
      <c r="Y29" s="502">
        <f>长江!M29</f>
        <v/>
      </c>
      <c r="Z29" s="502">
        <f>长江!N29</f>
        <v/>
      </c>
      <c r="AA29" s="502">
        <f>长江!O29</f>
        <v/>
      </c>
      <c r="AB29" s="504">
        <f>萍钢!J29</f>
        <v/>
      </c>
      <c r="AC29" s="504">
        <f>萍钢!K29</f>
        <v/>
      </c>
      <c r="AD29" s="450">
        <f>金虹!H29</f>
        <v/>
      </c>
      <c r="AE29" s="450">
        <f>金虹!I29</f>
        <v/>
      </c>
      <c r="AF29" s="450">
        <f>南钢!H29</f>
        <v/>
      </c>
      <c r="AG29" s="441">
        <f>南钢!I29</f>
        <v/>
      </c>
      <c r="AH29" s="450">
        <f>鄂钢!H29</f>
        <v/>
      </c>
      <c r="AI29" s="450">
        <f>鄂钢!I29</f>
        <v/>
      </c>
      <c r="AJ29" s="450">
        <f>贵航!H29</f>
        <v/>
      </c>
      <c r="AK29" s="450">
        <f>贵航!I29</f>
        <v/>
      </c>
      <c r="AL29" s="504">
        <f>萍钢!H29</f>
        <v/>
      </c>
      <c r="AM29" s="504">
        <f>萍钢!I29</f>
        <v/>
      </c>
      <c r="AN29" s="450">
        <f>桂鑫!H29</f>
        <v/>
      </c>
      <c r="AO29" s="450">
        <f>桂鑫!I29</f>
        <v/>
      </c>
      <c r="AP29" s="504">
        <f>金安!G29</f>
        <v/>
      </c>
      <c r="AQ29" s="504">
        <f>金安!H29</f>
        <v/>
      </c>
      <c r="AR29" s="456">
        <f>马钢!H29</f>
        <v/>
      </c>
      <c r="AS29" s="453">
        <f>马钢!I29</f>
        <v/>
      </c>
      <c r="AT29" s="450">
        <f>中天!H29</f>
        <v/>
      </c>
      <c r="AU29" s="450">
        <f>中天!I29</f>
        <v/>
      </c>
      <c r="AV29" s="450" t="n">
        <v>80</v>
      </c>
      <c r="AW29" s="450" t="n">
        <v>3360</v>
      </c>
      <c r="AX29" s="450">
        <f>新兴铸管!H29</f>
        <v/>
      </c>
      <c r="AY29" s="450">
        <f>新兴铸管!I29</f>
        <v/>
      </c>
      <c r="AZ29" s="450">
        <f>新兴铸管!J29</f>
        <v/>
      </c>
      <c r="BA29" s="441">
        <f>新兴铸管!K29</f>
        <v/>
      </c>
      <c r="BB29" s="441" t="n"/>
      <c r="BC29" s="441" t="n"/>
      <c r="BD29" s="441" t="n"/>
      <c r="BE29" s="441" t="n"/>
      <c r="BF29" s="441" t="n"/>
      <c r="BG29" s="441" t="n"/>
      <c r="BH29" s="441" t="n"/>
      <c r="BI29" s="441" t="n"/>
      <c r="BJ29" s="441" t="n"/>
      <c r="BK29" s="441" t="n"/>
      <c r="BL29" s="441" t="n"/>
      <c r="BM29" s="441" t="n"/>
      <c r="BN29" s="441" t="n"/>
      <c r="BO29" s="441" t="n"/>
      <c r="BP29" s="456">
        <f>马钢!T29</f>
        <v/>
      </c>
      <c r="BQ29" s="453">
        <f>马钢!U29</f>
        <v/>
      </c>
      <c r="BR29" s="450" t="n">
        <v>170</v>
      </c>
      <c r="BS29" s="450" t="n">
        <v>-140</v>
      </c>
      <c r="BT29" s="450" t="n">
        <v>80</v>
      </c>
      <c r="BU29" s="441" t="n">
        <v>3360</v>
      </c>
      <c r="BV29" s="450" t="n">
        <v>120</v>
      </c>
      <c r="BW29" s="441" t="n">
        <v>-40</v>
      </c>
      <c r="BX29" s="450" t="n">
        <v>290</v>
      </c>
      <c r="BY29" s="441" t="n">
        <v>-210</v>
      </c>
      <c r="BZ29" s="450" t="n">
        <v>220</v>
      </c>
      <c r="CA29" s="450" t="n">
        <v>-150</v>
      </c>
      <c r="CB29" s="450" t="n">
        <v>0</v>
      </c>
      <c r="CC29" s="450" t="n">
        <v>70</v>
      </c>
    </row>
    <row r="30" ht="18" customFormat="1" customHeight="1" s="424">
      <c r="A30" s="538" t="n"/>
      <c r="B30" s="496" t="n">
        <v>28</v>
      </c>
      <c r="C30" s="496" t="n">
        <v>9</v>
      </c>
      <c r="D30" s="486" t="inlineStr">
        <is>
          <t>HRB400E</t>
        </is>
      </c>
      <c r="E30" s="493" t="n"/>
      <c r="F30" s="493">
        <f>E30*G30</f>
        <v/>
      </c>
      <c r="G30" s="499" t="n"/>
      <c r="H30" s="477" t="n"/>
      <c r="I30" s="493" t="n"/>
      <c r="J30" s="477" t="n"/>
      <c r="K30" s="487" t="n"/>
      <c r="L30" s="487" t="n"/>
      <c r="M30" s="496" t="n"/>
      <c r="N30" s="496" t="n"/>
      <c r="O30" s="496" t="n"/>
      <c r="P30" s="450">
        <f>徐钢!H30</f>
        <v/>
      </c>
      <c r="Q30" s="450">
        <f>徐钢!I30</f>
        <v/>
      </c>
      <c r="R30" s="450">
        <f>闽源!H30</f>
        <v/>
      </c>
      <c r="S30" s="450">
        <f>闽源!I30</f>
        <v/>
      </c>
      <c r="T30" s="502">
        <f>长江!H30</f>
        <v/>
      </c>
      <c r="U30" s="503">
        <f>长江!I30</f>
        <v/>
      </c>
      <c r="V30" s="502">
        <f>长江!J30</f>
        <v/>
      </c>
      <c r="W30" s="502">
        <f>长江!K30</f>
        <v/>
      </c>
      <c r="X30" s="502">
        <f>长江!L30</f>
        <v/>
      </c>
      <c r="Y30" s="502">
        <f>长江!M30</f>
        <v/>
      </c>
      <c r="Z30" s="502">
        <f>长江!N30</f>
        <v/>
      </c>
      <c r="AA30" s="502">
        <f>长江!O30</f>
        <v/>
      </c>
      <c r="AB30" s="504">
        <f>萍钢!J30</f>
        <v/>
      </c>
      <c r="AC30" s="504">
        <f>萍钢!K30</f>
        <v/>
      </c>
      <c r="AD30" s="450">
        <f>金虹!H30</f>
        <v/>
      </c>
      <c r="AE30" s="450">
        <f>金虹!I30</f>
        <v/>
      </c>
      <c r="AF30" s="450">
        <f>南钢!H30</f>
        <v/>
      </c>
      <c r="AG30" s="441">
        <f>南钢!I30</f>
        <v/>
      </c>
      <c r="AH30" s="450">
        <f>鄂钢!H30</f>
        <v/>
      </c>
      <c r="AI30" s="450">
        <f>鄂钢!I30</f>
        <v/>
      </c>
      <c r="AJ30" s="450">
        <f>贵航!H30</f>
        <v/>
      </c>
      <c r="AK30" s="450">
        <f>贵航!I30</f>
        <v/>
      </c>
      <c r="AL30" s="504">
        <f>萍钢!H30</f>
        <v/>
      </c>
      <c r="AM30" s="504">
        <f>萍钢!I30</f>
        <v/>
      </c>
      <c r="AN30" s="450">
        <f>桂鑫!H30</f>
        <v/>
      </c>
      <c r="AO30" s="450">
        <f>桂鑫!I30</f>
        <v/>
      </c>
      <c r="AP30" s="504">
        <f>金安!G30</f>
        <v/>
      </c>
      <c r="AQ30" s="504">
        <f>金安!H30</f>
        <v/>
      </c>
      <c r="AR30" s="456">
        <f>马钢!H30</f>
        <v/>
      </c>
      <c r="AS30" s="453">
        <f>马钢!I30</f>
        <v/>
      </c>
      <c r="AT30" s="450">
        <f>中天!H30</f>
        <v/>
      </c>
      <c r="AU30" s="450">
        <f>中天!I30</f>
        <v/>
      </c>
      <c r="AV30" s="450" t="n">
        <v>120</v>
      </c>
      <c r="AW30" s="450" t="n">
        <v>3380</v>
      </c>
      <c r="AX30" s="450">
        <f>新兴铸管!H30</f>
        <v/>
      </c>
      <c r="AY30" s="450">
        <f>新兴铸管!I30</f>
        <v/>
      </c>
      <c r="AZ30" s="450">
        <f>新兴铸管!J30</f>
        <v/>
      </c>
      <c r="BA30" s="441">
        <f>新兴铸管!K30</f>
        <v/>
      </c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56">
        <f>马钢!T30</f>
        <v/>
      </c>
      <c r="BQ30" s="453">
        <f>马钢!U30</f>
        <v/>
      </c>
      <c r="BR30" s="450" t="n">
        <v>200</v>
      </c>
      <c r="BS30" s="450" t="inlineStr">
        <is>
          <t>#VALUE!</t>
        </is>
      </c>
      <c r="BT30" s="450" t="n">
        <v>120</v>
      </c>
      <c r="BU30" s="441" t="n">
        <v>3380</v>
      </c>
      <c r="BV30" s="450" t="n">
        <v>180</v>
      </c>
      <c r="BW30" s="441" t="n">
        <v>-60</v>
      </c>
      <c r="BX30" s="450" t="n">
        <v>320</v>
      </c>
      <c r="BY30" s="441" t="n">
        <v>-200</v>
      </c>
      <c r="BZ30" s="450" t="n">
        <v>240</v>
      </c>
      <c r="CA30" s="450" t="inlineStr">
        <is>
          <t>#VALUE!</t>
        </is>
      </c>
      <c r="CB30" s="450" t="n">
        <v>80</v>
      </c>
      <c r="CC30" s="450" t="inlineStr">
        <is>
          <t>#VALUE!</t>
        </is>
      </c>
    </row>
    <row r="31" ht="18" customFormat="1" customHeight="1" s="424">
      <c r="A31" s="538" t="n"/>
      <c r="B31" s="496" t="n">
        <v>28</v>
      </c>
      <c r="C31" s="496" t="n">
        <v>12</v>
      </c>
      <c r="D31" s="486" t="inlineStr">
        <is>
          <t>HRB400E</t>
        </is>
      </c>
      <c r="E31" s="493" t="n"/>
      <c r="F31" s="493">
        <f>E31*G31</f>
        <v/>
      </c>
      <c r="G31" s="499" t="n"/>
      <c r="H31" s="477" t="n"/>
      <c r="I31" s="493" t="n"/>
      <c r="J31" s="477" t="n"/>
      <c r="K31" s="487" t="n"/>
      <c r="L31" s="487" t="n"/>
      <c r="M31" s="496" t="n"/>
      <c r="N31" s="496" t="n"/>
      <c r="O31" s="496" t="n"/>
      <c r="P31" s="450">
        <f>徐钢!H31</f>
        <v/>
      </c>
      <c r="Q31" s="450">
        <f>徐钢!I31</f>
        <v/>
      </c>
      <c r="R31" s="450">
        <f>闽源!H31</f>
        <v/>
      </c>
      <c r="S31" s="450">
        <f>闽源!I31</f>
        <v/>
      </c>
      <c r="T31" s="502">
        <f>长江!H31</f>
        <v/>
      </c>
      <c r="U31" s="503">
        <f>长江!I31</f>
        <v/>
      </c>
      <c r="V31" s="502">
        <f>长江!J31</f>
        <v/>
      </c>
      <c r="W31" s="502">
        <f>长江!K31</f>
        <v/>
      </c>
      <c r="X31" s="502">
        <f>长江!L31</f>
        <v/>
      </c>
      <c r="Y31" s="502">
        <f>长江!M31</f>
        <v/>
      </c>
      <c r="Z31" s="502">
        <f>长江!N31</f>
        <v/>
      </c>
      <c r="AA31" s="502">
        <f>长江!O31</f>
        <v/>
      </c>
      <c r="AB31" s="504">
        <f>萍钢!J31</f>
        <v/>
      </c>
      <c r="AC31" s="504">
        <f>萍钢!K31</f>
        <v/>
      </c>
      <c r="AD31" s="450">
        <f>金虹!H31</f>
        <v/>
      </c>
      <c r="AE31" s="450">
        <f>金虹!I31</f>
        <v/>
      </c>
      <c r="AF31" s="450">
        <f>南钢!H31</f>
        <v/>
      </c>
      <c r="AG31" s="441">
        <f>南钢!I31</f>
        <v/>
      </c>
      <c r="AH31" s="450">
        <f>鄂钢!H31</f>
        <v/>
      </c>
      <c r="AI31" s="450">
        <f>鄂钢!I31</f>
        <v/>
      </c>
      <c r="AJ31" s="450">
        <f>贵航!H31</f>
        <v/>
      </c>
      <c r="AK31" s="450">
        <f>贵航!I31</f>
        <v/>
      </c>
      <c r="AL31" s="504">
        <f>萍钢!H31</f>
        <v/>
      </c>
      <c r="AM31" s="504">
        <f>萍钢!I31</f>
        <v/>
      </c>
      <c r="AN31" s="450">
        <f>桂鑫!H31</f>
        <v/>
      </c>
      <c r="AO31" s="450">
        <f>桂鑫!I31</f>
        <v/>
      </c>
      <c r="AP31" s="504">
        <f>金安!G31</f>
        <v/>
      </c>
      <c r="AQ31" s="504">
        <f>金安!H31</f>
        <v/>
      </c>
      <c r="AR31" s="456">
        <f>马钢!H31</f>
        <v/>
      </c>
      <c r="AS31" s="453">
        <f>马钢!I31</f>
        <v/>
      </c>
      <c r="AT31" s="450">
        <f>中天!H31</f>
        <v/>
      </c>
      <c r="AU31" s="450">
        <f>中天!I31</f>
        <v/>
      </c>
      <c r="AV31" s="450" t="n">
        <v>120</v>
      </c>
      <c r="AW31" s="450" t="n">
        <v>3380</v>
      </c>
      <c r="AX31" s="450">
        <f>新兴铸管!H31</f>
        <v/>
      </c>
      <c r="AY31" s="450">
        <f>新兴铸管!I31</f>
        <v/>
      </c>
      <c r="AZ31" s="450">
        <f>新兴铸管!J31</f>
        <v/>
      </c>
      <c r="BA31" s="441">
        <f>新兴铸管!K31</f>
        <v/>
      </c>
      <c r="BB31" s="441" t="n"/>
      <c r="BC31" s="441" t="n"/>
      <c r="BD31" s="441" t="n"/>
      <c r="BE31" s="441" t="n"/>
      <c r="BF31" s="441" t="n"/>
      <c r="BG31" s="441" t="n"/>
      <c r="BH31" s="441" t="n"/>
      <c r="BI31" s="441" t="n"/>
      <c r="BJ31" s="441" t="n"/>
      <c r="BK31" s="441" t="n"/>
      <c r="BL31" s="441" t="n"/>
      <c r="BM31" s="441" t="n"/>
      <c r="BN31" s="441" t="n"/>
      <c r="BO31" s="441" t="n"/>
      <c r="BP31" s="456">
        <f>马钢!T31</f>
        <v/>
      </c>
      <c r="BQ31" s="453">
        <f>马钢!U31</f>
        <v/>
      </c>
      <c r="BR31" s="450" t="n">
        <v>200</v>
      </c>
      <c r="BS31" s="450" t="inlineStr">
        <is>
          <t>#VALUE!</t>
        </is>
      </c>
      <c r="BT31" s="450" t="n">
        <v>120</v>
      </c>
      <c r="BU31" s="441" t="n">
        <v>3380</v>
      </c>
      <c r="BV31" s="450" t="n">
        <v>180</v>
      </c>
      <c r="BW31" s="441" t="n">
        <v>-60</v>
      </c>
      <c r="BX31" s="450" t="n">
        <v>390</v>
      </c>
      <c r="BY31" s="441" t="n">
        <v>-270</v>
      </c>
      <c r="BZ31" s="450" t="n">
        <v>240</v>
      </c>
      <c r="CA31" s="450" t="inlineStr">
        <is>
          <t>#VALUE!</t>
        </is>
      </c>
      <c r="CB31" s="450" t="n">
        <v>80</v>
      </c>
      <c r="CC31" s="450" t="inlineStr">
        <is>
          <t>#VALUE!</t>
        </is>
      </c>
    </row>
    <row r="32" ht="18" customFormat="1" customHeight="1" s="424">
      <c r="A32" s="538" t="n"/>
      <c r="B32" s="496" t="n">
        <v>32</v>
      </c>
      <c r="C32" s="496" t="n">
        <v>9</v>
      </c>
      <c r="D32" s="486" t="inlineStr">
        <is>
          <t>HRB400E</t>
        </is>
      </c>
      <c r="E32" s="493" t="n"/>
      <c r="F32" s="493">
        <f>E32*G32</f>
        <v/>
      </c>
      <c r="G32" s="493" t="n"/>
      <c r="H32" s="477" t="n"/>
      <c r="I32" s="493" t="n"/>
      <c r="J32" s="477" t="n"/>
      <c r="K32" s="487" t="n"/>
      <c r="L32" s="487" t="n"/>
      <c r="M32" s="496" t="n"/>
      <c r="N32" s="496" t="n"/>
      <c r="O32" s="496" t="n"/>
      <c r="P32" s="450">
        <f>徐钢!H32</f>
        <v/>
      </c>
      <c r="Q32" s="450">
        <f>徐钢!I32</f>
        <v/>
      </c>
      <c r="R32" s="450">
        <f>闽源!H32</f>
        <v/>
      </c>
      <c r="S32" s="450">
        <f>闽源!I32</f>
        <v/>
      </c>
      <c r="T32" s="502">
        <f>长江!H32</f>
        <v/>
      </c>
      <c r="U32" s="503">
        <f>长江!I32</f>
        <v/>
      </c>
      <c r="V32" s="502">
        <f>长江!J32</f>
        <v/>
      </c>
      <c r="W32" s="502">
        <f>长江!K32</f>
        <v/>
      </c>
      <c r="X32" s="502">
        <f>长江!L32</f>
        <v/>
      </c>
      <c r="Y32" s="502">
        <f>长江!M32</f>
        <v/>
      </c>
      <c r="Z32" s="502">
        <f>长江!N32</f>
        <v/>
      </c>
      <c r="AA32" s="502">
        <f>长江!O32</f>
        <v/>
      </c>
      <c r="AB32" s="504">
        <f>萍钢!J32</f>
        <v/>
      </c>
      <c r="AC32" s="504">
        <f>萍钢!K32</f>
        <v/>
      </c>
      <c r="AD32" s="450">
        <f>金虹!H32</f>
        <v/>
      </c>
      <c r="AE32" s="450">
        <f>金虹!I32</f>
        <v/>
      </c>
      <c r="AF32" s="450">
        <f>南钢!H32</f>
        <v/>
      </c>
      <c r="AG32" s="441">
        <f>南钢!I32</f>
        <v/>
      </c>
      <c r="AH32" s="450">
        <f>鄂钢!H32</f>
        <v/>
      </c>
      <c r="AI32" s="450">
        <f>鄂钢!I32</f>
        <v/>
      </c>
      <c r="AJ32" s="450">
        <f>贵航!H32</f>
        <v/>
      </c>
      <c r="AK32" s="450">
        <f>贵航!I32</f>
        <v/>
      </c>
      <c r="AL32" s="504">
        <f>萍钢!H32</f>
        <v/>
      </c>
      <c r="AM32" s="504">
        <f>萍钢!I32</f>
        <v/>
      </c>
      <c r="AN32" s="450">
        <f>桂鑫!H32</f>
        <v/>
      </c>
      <c r="AO32" s="450">
        <f>桂鑫!I32</f>
        <v/>
      </c>
      <c r="AP32" s="504">
        <f>金安!G32</f>
        <v/>
      </c>
      <c r="AQ32" s="504">
        <f>金安!H32</f>
        <v/>
      </c>
      <c r="AR32" s="456">
        <f>马钢!H32</f>
        <v/>
      </c>
      <c r="AS32" s="453">
        <f>马钢!I32</f>
        <v/>
      </c>
      <c r="AT32" s="450">
        <f>中天!H32</f>
        <v/>
      </c>
      <c r="AU32" s="450">
        <f>中天!I32</f>
        <v/>
      </c>
      <c r="AV32" s="450" t="n">
        <v>120</v>
      </c>
      <c r="AW32" s="450" t="n">
        <v>3380</v>
      </c>
      <c r="AX32" s="450">
        <f>新兴铸管!H32</f>
        <v/>
      </c>
      <c r="AY32" s="450">
        <f>新兴铸管!I32</f>
        <v/>
      </c>
      <c r="AZ32" s="450">
        <f>新兴铸管!J32</f>
        <v/>
      </c>
      <c r="BA32" s="441">
        <f>新兴铸管!K32</f>
        <v/>
      </c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56">
        <f>马钢!T32</f>
        <v/>
      </c>
      <c r="BQ32" s="453">
        <f>马钢!U32</f>
        <v/>
      </c>
      <c r="BR32" s="450" t="n">
        <v>200</v>
      </c>
      <c r="BS32" s="450" t="inlineStr">
        <is>
          <t>#VALUE!</t>
        </is>
      </c>
      <c r="BT32" s="450" t="n">
        <v>120</v>
      </c>
      <c r="BU32" s="441" t="n">
        <v>3380</v>
      </c>
      <c r="BV32" s="450" t="n">
        <v>180</v>
      </c>
      <c r="BW32" s="441" t="n">
        <v>-60</v>
      </c>
      <c r="BX32" s="450" t="n">
        <v>370</v>
      </c>
      <c r="BY32" s="441" t="n">
        <v>-250</v>
      </c>
      <c r="BZ32" s="450" t="n">
        <v>240</v>
      </c>
      <c r="CA32" s="450" t="inlineStr">
        <is>
          <t>#VALUE!</t>
        </is>
      </c>
      <c r="CB32" s="450" t="n">
        <v>80</v>
      </c>
      <c r="CC32" s="450" t="inlineStr">
        <is>
          <t>#VALUE!</t>
        </is>
      </c>
    </row>
    <row r="33" ht="18" customFormat="1" customHeight="1" s="424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488" t="n"/>
      <c r="F33" s="488">
        <f>E33*G33</f>
        <v/>
      </c>
      <c r="G33" s="488" t="n"/>
      <c r="H33" s="493" t="n"/>
      <c r="I33" s="493" t="n"/>
      <c r="J33" s="505" t="n"/>
      <c r="K33" s="506" t="n"/>
      <c r="L33" s="506" t="n"/>
      <c r="M33" s="507" t="n"/>
      <c r="N33" s="506" t="n"/>
      <c r="O33" s="506" t="n"/>
      <c r="P33" s="450">
        <f>徐钢!H33</f>
        <v/>
      </c>
      <c r="Q33" s="450">
        <f>徐钢!I33</f>
        <v/>
      </c>
      <c r="R33" s="450">
        <f>闽源!H33</f>
        <v/>
      </c>
      <c r="S33" s="450">
        <f>闽源!I33</f>
        <v/>
      </c>
      <c r="T33" s="502">
        <f>长江!H33</f>
        <v/>
      </c>
      <c r="U33" s="503">
        <f>长江!I33</f>
        <v/>
      </c>
      <c r="V33" s="502">
        <f>长江!J33</f>
        <v/>
      </c>
      <c r="W33" s="502">
        <f>长江!K33</f>
        <v/>
      </c>
      <c r="X33" s="502">
        <f>长江!L33</f>
        <v/>
      </c>
      <c r="Y33" s="502">
        <f>长江!M33</f>
        <v/>
      </c>
      <c r="Z33" s="502">
        <f>长江!N33</f>
        <v/>
      </c>
      <c r="AA33" s="502">
        <f>长江!O33</f>
        <v/>
      </c>
      <c r="AB33" s="504">
        <f>萍钢!J33</f>
        <v/>
      </c>
      <c r="AC33" s="504">
        <f>萍钢!K33</f>
        <v/>
      </c>
      <c r="AD33" s="450">
        <f>金虹!H33</f>
        <v/>
      </c>
      <c r="AE33" s="450">
        <f>金虹!I33</f>
        <v/>
      </c>
      <c r="AF33" s="450">
        <f>南钢!H33</f>
        <v/>
      </c>
      <c r="AG33" s="441">
        <f>南钢!I33</f>
        <v/>
      </c>
      <c r="AH33" s="508">
        <f>鄂钢!H33</f>
        <v/>
      </c>
      <c r="AI33" s="508">
        <f>鄂钢!I33</f>
        <v/>
      </c>
      <c r="AJ33" s="450">
        <f>贵航!H33</f>
        <v/>
      </c>
      <c r="AK33" s="450">
        <f>贵航!I33</f>
        <v/>
      </c>
      <c r="AL33" s="504">
        <f>萍钢!H33</f>
        <v/>
      </c>
      <c r="AM33" s="504">
        <f>萍钢!I33</f>
        <v/>
      </c>
      <c r="AN33" s="450">
        <f>桂鑫!H33</f>
        <v/>
      </c>
      <c r="AO33" s="450">
        <f>桂鑫!I33</f>
        <v/>
      </c>
      <c r="AP33" s="504">
        <f>金安!G33</f>
        <v/>
      </c>
      <c r="AQ33" s="504">
        <f>金安!H33</f>
        <v/>
      </c>
      <c r="AR33" s="456">
        <f>马钢!H33</f>
        <v/>
      </c>
      <c r="AS33" s="453">
        <f>马钢!I33</f>
        <v/>
      </c>
      <c r="AT33" s="450">
        <f>中天!H33</f>
        <v/>
      </c>
      <c r="AU33" s="450">
        <f>中天!I33</f>
        <v/>
      </c>
      <c r="AV33" s="450" t="n">
        <v>120</v>
      </c>
      <c r="AW33" s="450" t="n">
        <v>3380</v>
      </c>
      <c r="AX33" s="450">
        <f>新兴铸管!H33</f>
        <v/>
      </c>
      <c r="AY33" s="450">
        <f>新兴铸管!I33</f>
        <v/>
      </c>
      <c r="AZ33" s="450">
        <f>新兴铸管!J33</f>
        <v/>
      </c>
      <c r="BA33" s="441">
        <f>新兴铸管!K33</f>
        <v/>
      </c>
      <c r="BB33" s="441" t="n"/>
      <c r="BC33" s="441" t="n"/>
      <c r="BD33" s="441" t="n"/>
      <c r="BE33" s="441" t="n"/>
      <c r="BF33" s="441" t="n"/>
      <c r="BG33" s="441" t="n"/>
      <c r="BH33" s="441" t="n"/>
      <c r="BI33" s="441" t="n"/>
      <c r="BJ33" s="441" t="n"/>
      <c r="BK33" s="441" t="n"/>
      <c r="BL33" s="441" t="n"/>
      <c r="BM33" s="441" t="n"/>
      <c r="BN33" s="441" t="n"/>
      <c r="BO33" s="441" t="n"/>
      <c r="BP33" s="456">
        <f>马钢!T33</f>
        <v/>
      </c>
      <c r="BQ33" s="453">
        <f>马钢!U33</f>
        <v/>
      </c>
      <c r="BR33" s="450" t="n">
        <v>200</v>
      </c>
      <c r="BS33" s="450" t="inlineStr">
        <is>
          <t>#VALUE!</t>
        </is>
      </c>
      <c r="BT33" s="450" t="n">
        <v>120</v>
      </c>
      <c r="BU33" s="441" t="n">
        <v>3380</v>
      </c>
      <c r="BV33" s="450" t="n">
        <v>180</v>
      </c>
      <c r="BW33" s="441" t="n">
        <v>-60</v>
      </c>
      <c r="BX33" s="450" t="n">
        <v>440</v>
      </c>
      <c r="BY33" s="441" t="n">
        <v>-320</v>
      </c>
      <c r="BZ33" s="450" t="n">
        <v>240</v>
      </c>
      <c r="CA33" s="450" t="inlineStr">
        <is>
          <t>#VALUE!</t>
        </is>
      </c>
      <c r="CB33" s="450" t="n">
        <v>50</v>
      </c>
      <c r="CC33" s="450" t="inlineStr">
        <is>
          <t>#VALUE!</t>
        </is>
      </c>
    </row>
    <row r="34" ht="18" customFormat="1" customHeight="1" s="424">
      <c r="A34" s="510" t="inlineStr">
        <is>
          <t>合计（吨）</t>
        </is>
      </c>
      <c r="B34" s="528" t="n"/>
      <c r="C34" s="528" t="n"/>
      <c r="D34" s="529" t="n"/>
      <c r="E34" s="510">
        <f>SUM(E9:E33)</f>
        <v/>
      </c>
      <c r="F34" s="493">
        <f>SUM(F9:F33)</f>
        <v/>
      </c>
      <c r="G34" s="493">
        <f>F34/E34</f>
        <v/>
      </c>
      <c r="H34" s="493">
        <f>SUM(H9:H33)</f>
        <v/>
      </c>
      <c r="I34" s="493">
        <f>SUM(I9:I33)</f>
        <v/>
      </c>
      <c r="J34" s="493">
        <f>SUM(J9:J33)</f>
        <v/>
      </c>
      <c r="K34" s="493">
        <f>SUM(K9:K33)</f>
        <v/>
      </c>
      <c r="L34" s="493">
        <f>SUM(L9:L33)</f>
        <v/>
      </c>
      <c r="M34" s="493">
        <f>SUM(M9:M33)</f>
        <v/>
      </c>
      <c r="N34" s="493">
        <f>SUM(N9:N33)</f>
        <v/>
      </c>
      <c r="O34" s="511" t="inlineStr">
        <is>
          <t>下浮</t>
        </is>
      </c>
      <c r="P34" s="456" t="n"/>
      <c r="Q34" s="456" t="n"/>
      <c r="R34" s="456" t="n"/>
      <c r="S34" s="456" t="n"/>
      <c r="T34" s="502">
        <f>长江!H34</f>
        <v/>
      </c>
      <c r="U34" s="502">
        <f>长江!I34</f>
        <v/>
      </c>
      <c r="V34" s="512" t="n"/>
      <c r="W34" s="512" t="n"/>
      <c r="X34" s="512" t="n"/>
      <c r="Y34" s="512" t="n"/>
      <c r="Z34" s="512" t="n"/>
      <c r="AA34" s="512" t="n"/>
      <c r="AB34" s="450" t="n"/>
      <c r="AC34" s="450" t="n"/>
      <c r="AD34" s="456" t="n"/>
      <c r="AE34" s="456" t="n"/>
      <c r="AF34" s="456" t="n"/>
      <c r="AG34" s="513" t="n"/>
      <c r="AH34" s="456" t="n"/>
      <c r="AI34" s="456" t="n"/>
      <c r="AJ34" s="453" t="n"/>
      <c r="AK34" s="456" t="n"/>
      <c r="AL34" s="450">
        <f>萍钢!L34</f>
        <v/>
      </c>
      <c r="AM34" s="441">
        <f>萍钢!M34</f>
        <v/>
      </c>
      <c r="AN34" s="456" t="n"/>
      <c r="AO34" s="456" t="n"/>
      <c r="AP34" s="504">
        <f>金安!G34</f>
        <v/>
      </c>
      <c r="AQ34" s="504">
        <f>金安!H34</f>
        <v/>
      </c>
      <c r="AR34" s="512" t="inlineStr">
        <is>
          <t>代理商</t>
        </is>
      </c>
      <c r="AS34" s="512" t="inlineStr">
        <is>
          <t>工程户</t>
        </is>
      </c>
      <c r="AT34" s="456" t="n"/>
      <c r="AU34" s="456" t="n"/>
      <c r="AV34" s="456" t="n"/>
      <c r="AW34" s="456" t="n"/>
      <c r="AX34" s="456" t="n"/>
      <c r="AY34" s="456" t="n"/>
      <c r="AZ34" s="456" t="n"/>
      <c r="BA34" s="456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2" t="inlineStr">
        <is>
          <t>代理商</t>
        </is>
      </c>
      <c r="BQ34" s="512" t="inlineStr">
        <is>
          <t>工程户</t>
        </is>
      </c>
      <c r="BR34" s="456" t="n"/>
      <c r="BS34" s="456" t="n"/>
      <c r="BT34" s="456" t="n"/>
      <c r="BU34" s="513" t="n"/>
      <c r="BV34" s="456" t="n">
        <v>0</v>
      </c>
      <c r="BW34" s="513" t="n">
        <v>0</v>
      </c>
      <c r="BX34" s="456" t="n"/>
      <c r="BY34" s="513" t="n"/>
      <c r="BZ34" s="456" t="n"/>
      <c r="CA34" s="456" t="n"/>
      <c r="CB34" s="456" t="n"/>
      <c r="CC34" s="456" t="n"/>
    </row>
    <row r="35" ht="18" customFormat="1" customHeight="1" s="424">
      <c r="A35" s="515" t="n"/>
      <c r="B35" s="515" t="n"/>
      <c r="C35" s="515" t="n"/>
      <c r="D35" s="496" t="n"/>
      <c r="E35" s="515" t="n"/>
      <c r="F35" s="516" t="n"/>
      <c r="G35" s="507" t="inlineStr">
        <is>
          <t>平均网差</t>
        </is>
      </c>
      <c r="H35" s="507">
        <f>SUM(H34:M34)</f>
        <v/>
      </c>
      <c r="I35" s="541" t="n"/>
      <c r="J35" s="541" t="n"/>
      <c r="K35" s="541" t="n"/>
      <c r="L35" s="541" t="n"/>
      <c r="M35" s="542" t="n"/>
      <c r="N35" s="519" t="n"/>
      <c r="O35" s="453" t="inlineStr">
        <is>
          <t>备注</t>
        </is>
      </c>
      <c r="P35" s="456" t="n"/>
      <c r="Q35" s="456" t="n"/>
      <c r="R35" s="456" t="n"/>
      <c r="S35" s="456" t="n"/>
      <c r="T35" s="512" t="n"/>
      <c r="U35" s="512" t="n"/>
      <c r="V35" s="512" t="n"/>
      <c r="W35" s="512" t="n"/>
      <c r="X35" s="512" t="n"/>
      <c r="Y35" s="512" t="n"/>
      <c r="Z35" s="512" t="n"/>
      <c r="AA35" s="512" t="n"/>
      <c r="AB35" s="450" t="n"/>
      <c r="AC35" s="450" t="n"/>
      <c r="AD35" s="456" t="n"/>
      <c r="AE35" s="456" t="n"/>
      <c r="AF35" s="456" t="n"/>
      <c r="AG35" s="513" t="n"/>
      <c r="AH35" s="456" t="n"/>
      <c r="AI35" s="456" t="n"/>
      <c r="AJ35" s="453" t="n"/>
      <c r="AK35" s="456" t="n"/>
      <c r="AL35" s="450">
        <f>萍钢!L35</f>
        <v/>
      </c>
      <c r="AM35" s="441">
        <f>萍钢!M35</f>
        <v/>
      </c>
      <c r="AN35" s="456" t="n"/>
      <c r="AO35" s="456" t="n"/>
      <c r="AP35" s="456" t="n"/>
      <c r="AQ35" s="456" t="n"/>
      <c r="AR35" s="456" t="n"/>
      <c r="AS35" s="456" t="n"/>
      <c r="AT35" s="456" t="n"/>
      <c r="AU35" s="456" t="n"/>
      <c r="AV35" s="456" t="n"/>
      <c r="AW35" s="456" t="n"/>
      <c r="AX35" s="456" t="n"/>
      <c r="AY35" s="456" t="n"/>
      <c r="AZ35" s="456" t="n"/>
      <c r="BA35" s="456" t="n"/>
      <c r="BB35" s="514" t="n"/>
      <c r="BC35" s="514" t="n"/>
      <c r="BD35" s="514" t="n"/>
      <c r="BE35" s="514" t="n"/>
      <c r="BF35" s="514" t="n"/>
      <c r="BG35" s="514" t="n"/>
      <c r="BH35" s="514" t="n"/>
      <c r="BI35" s="514" t="n"/>
      <c r="BJ35" s="514" t="n"/>
      <c r="BK35" s="514" t="n"/>
      <c r="BL35" s="514" t="n"/>
      <c r="BM35" s="514" t="n"/>
      <c r="BN35" s="514" t="n"/>
      <c r="BO35" s="514" t="n"/>
      <c r="BP35" s="456" t="n"/>
      <c r="BQ35" s="456" t="n"/>
      <c r="BR35" s="456" t="n"/>
      <c r="BS35" s="456" t="n"/>
      <c r="BT35" s="456" t="n"/>
      <c r="BU35" s="513" t="n"/>
      <c r="BV35" s="456" t="n">
        <v>0</v>
      </c>
      <c r="BW35" s="513" t="n">
        <v>0</v>
      </c>
      <c r="BX35" s="456" t="n"/>
      <c r="BY35" s="513" t="n"/>
      <c r="BZ35" s="456" t="n"/>
      <c r="CA35" s="456" t="n"/>
      <c r="CB35" s="456" t="n"/>
      <c r="CC35" s="456" t="n"/>
    </row>
    <row r="36" ht="14.25" customFormat="1" customHeight="1" s="424">
      <c r="A36" s="520" t="n"/>
      <c r="B36" s="520" t="n"/>
      <c r="C36" s="520" t="n"/>
      <c r="D36" s="521" t="n"/>
      <c r="E36" s="438" t="n"/>
      <c r="F36" s="438" t="n"/>
      <c r="G36" s="521" t="n"/>
      <c r="H36" s="521" t="n"/>
      <c r="I36" s="521" t="n"/>
      <c r="J36" s="521" t="n"/>
      <c r="K36" s="521" t="n"/>
      <c r="L36" s="521" t="n"/>
      <c r="M36" s="521" t="n"/>
      <c r="N36" s="521" t="n"/>
      <c r="O36" s="438" t="n"/>
      <c r="P36" s="438" t="n"/>
      <c r="Q36" s="438" t="n"/>
      <c r="R36" s="438" t="n"/>
      <c r="S36" s="438" t="n"/>
      <c r="T36" s="438" t="n"/>
      <c r="U36" s="438" t="n"/>
      <c r="V36" s="438" t="n"/>
      <c r="W36" s="438" t="n"/>
      <c r="X36" s="438" t="n"/>
      <c r="Y36" s="438" t="n"/>
      <c r="Z36" s="438" t="n"/>
      <c r="AA36" s="438" t="n"/>
      <c r="AB36" s="438" t="n"/>
      <c r="AC36" s="438" t="n"/>
      <c r="AD36" s="438" t="n"/>
      <c r="AE36" s="438" t="n"/>
      <c r="AF36" s="438" t="n"/>
      <c r="AG36" s="438" t="n"/>
      <c r="AH36" s="438" t="n"/>
      <c r="AI36" s="438" t="n"/>
      <c r="AJ36" s="438" t="n"/>
      <c r="AK36" s="438" t="n"/>
      <c r="AL36" s="438" t="n"/>
      <c r="AM36" s="438" t="n"/>
      <c r="AN36" s="438" t="n"/>
      <c r="AO36" s="438" t="n"/>
      <c r="AP36" s="438" t="n"/>
      <c r="AQ36" s="438" t="n"/>
      <c r="AR36" s="438" t="n"/>
      <c r="AS36" s="438" t="n"/>
      <c r="AT36" s="438" t="n"/>
      <c r="AU36" s="438" t="n"/>
      <c r="AV36" s="438" t="n"/>
      <c r="AW36" s="438" t="n"/>
      <c r="AX36" s="438" t="n"/>
      <c r="AY36" s="438" t="n"/>
      <c r="AZ36" s="438" t="n"/>
      <c r="BA36" s="438" t="n"/>
      <c r="BB36" s="438" t="n"/>
      <c r="BC36" s="438" t="n"/>
      <c r="BD36" s="438" t="n"/>
      <c r="BE36" s="438" t="n"/>
      <c r="BF36" s="438" t="n"/>
      <c r="BG36" s="438" t="n"/>
      <c r="BH36" s="438" t="n"/>
      <c r="BI36" s="438" t="n"/>
      <c r="BJ36" s="438" t="n"/>
      <c r="BK36" s="438" t="n"/>
      <c r="BL36" s="438" t="n"/>
      <c r="BM36" s="438" t="n"/>
      <c r="BN36" s="438" t="n"/>
      <c r="BO36" s="438" t="n"/>
      <c r="BP36" s="438" t="n"/>
      <c r="BQ36" s="438" t="n"/>
      <c r="BR36" s="438" t="n"/>
      <c r="BS36" s="438" t="n"/>
      <c r="BT36" s="438" t="n"/>
      <c r="BU36" s="438" t="n"/>
      <c r="BV36" s="450" t="n"/>
      <c r="BW36" s="441" t="n"/>
      <c r="BX36" s="450" t="n"/>
      <c r="BY36" s="441" t="n"/>
      <c r="BZ36" s="450" t="n"/>
      <c r="CA36" s="450" t="n"/>
      <c r="CB36" s="450" t="n"/>
      <c r="CC36" s="450" t="n"/>
    </row>
    <row r="37" ht="14.25" customFormat="1" customHeight="1" s="424">
      <c r="A37" s="520" t="n"/>
      <c r="B37" s="520" t="n"/>
      <c r="C37" s="520" t="n"/>
      <c r="D37" s="521" t="n"/>
      <c r="E37" s="438" t="n"/>
      <c r="F37" s="438" t="n"/>
      <c r="G37" s="521" t="n"/>
      <c r="H37" s="521" t="n"/>
      <c r="I37" s="521" t="n"/>
      <c r="J37" s="521" t="n"/>
      <c r="K37" s="521" t="n"/>
      <c r="L37" s="521" t="n"/>
      <c r="M37" s="521" t="n"/>
      <c r="N37" s="521" t="n"/>
      <c r="O37" s="438" t="n"/>
      <c r="P37" s="438" t="n"/>
      <c r="Q37" s="438" t="n"/>
      <c r="R37" s="438" t="n"/>
      <c r="S37" s="438" t="n"/>
      <c r="T37" s="438" t="n"/>
      <c r="U37" s="438" t="n"/>
      <c r="V37" s="438" t="n"/>
      <c r="W37" s="438" t="n"/>
      <c r="X37" s="438" t="n"/>
      <c r="Y37" s="438" t="n"/>
      <c r="Z37" s="438" t="n"/>
      <c r="AA37" s="438" t="n"/>
      <c r="AB37" s="438" t="n"/>
      <c r="AC37" s="438" t="n"/>
      <c r="AD37" s="438" t="n"/>
      <c r="AE37" s="438" t="n"/>
      <c r="AF37" s="438" t="n"/>
      <c r="AG37" s="438" t="n"/>
      <c r="AH37" s="438" t="n"/>
      <c r="AI37" s="438" t="n"/>
      <c r="AJ37" s="438" t="n"/>
      <c r="AK37" s="438" t="n"/>
      <c r="AL37" s="438" t="n"/>
      <c r="AM37" s="438" t="n"/>
      <c r="AN37" s="438" t="n"/>
      <c r="AO37" s="438" t="n"/>
      <c r="AP37" s="438" t="n"/>
      <c r="AQ37" s="438" t="n"/>
      <c r="AR37" s="438" t="n"/>
      <c r="AS37" s="438" t="n"/>
      <c r="AT37" s="438" t="n"/>
      <c r="AU37" s="438" t="n"/>
      <c r="AV37" s="438" t="n"/>
      <c r="AW37" s="438" t="n"/>
      <c r="AX37" s="438" t="n"/>
      <c r="AY37" s="438" t="n"/>
      <c r="AZ37" s="438" t="n"/>
      <c r="BA37" s="438" t="n"/>
      <c r="BB37" s="438" t="n"/>
      <c r="BC37" s="438" t="n"/>
      <c r="BD37" s="438" t="n"/>
      <c r="BE37" s="438" t="n"/>
      <c r="BF37" s="438" t="n"/>
      <c r="BG37" s="438" t="n"/>
      <c r="BH37" s="438" t="n"/>
      <c r="BI37" s="438" t="n"/>
      <c r="BJ37" s="438" t="n"/>
      <c r="BK37" s="438" t="n"/>
      <c r="BL37" s="438" t="n"/>
      <c r="BM37" s="438" t="n"/>
      <c r="BN37" s="438" t="n"/>
      <c r="BO37" s="438" t="n"/>
      <c r="BP37" s="438" t="n"/>
      <c r="BQ37" s="438" t="n"/>
      <c r="BR37" s="438" t="n"/>
      <c r="BS37" s="438" t="n"/>
      <c r="BT37" s="438" t="n"/>
      <c r="BU37" s="438" t="n"/>
      <c r="BV37" s="450" t="n"/>
      <c r="BW37" s="441" t="n"/>
      <c r="BX37" s="450" t="n"/>
      <c r="BY37" s="441" t="n"/>
      <c r="BZ37" s="450" t="n"/>
      <c r="CA37" s="450" t="n"/>
      <c r="CB37" s="450" t="n"/>
      <c r="CC37" s="450" t="n"/>
    </row>
    <row r="38" ht="14.25" customFormat="1" customHeight="1" s="424">
      <c r="A38" s="520" t="n"/>
      <c r="B38" s="520" t="n"/>
      <c r="C38" s="520" t="n"/>
      <c r="D38" s="521" t="n"/>
      <c r="E38" s="438" t="n"/>
      <c r="F38" s="438" t="n"/>
      <c r="G38" s="521" t="n"/>
      <c r="H38" s="521" t="n"/>
      <c r="I38" s="521" t="n"/>
      <c r="J38" s="521" t="n"/>
      <c r="K38" s="521" t="n"/>
      <c r="L38" s="521" t="n"/>
      <c r="M38" s="521" t="n"/>
      <c r="N38" s="521" t="n"/>
      <c r="O38" s="438" t="n"/>
      <c r="P38" s="438" t="n"/>
      <c r="Q38" s="438" t="n"/>
      <c r="R38" s="438" t="n"/>
      <c r="S38" s="438" t="n"/>
      <c r="T38" s="438" t="n"/>
      <c r="U38" s="438" t="n"/>
      <c r="V38" s="438" t="n"/>
      <c r="W38" s="438" t="n"/>
      <c r="X38" s="438" t="n"/>
      <c r="Y38" s="438" t="n"/>
      <c r="Z38" s="438" t="n"/>
      <c r="AA38" s="438" t="n"/>
      <c r="AB38" s="438" t="n"/>
      <c r="AC38" s="438" t="n"/>
      <c r="AD38" s="438" t="n"/>
      <c r="AE38" s="438" t="n"/>
      <c r="AF38" s="438" t="n"/>
      <c r="AG38" s="438" t="n"/>
      <c r="AH38" s="438" t="n"/>
      <c r="AI38" s="438" t="n"/>
      <c r="AJ38" s="438" t="n"/>
      <c r="AK38" s="438" t="n"/>
      <c r="AL38" s="438" t="n"/>
      <c r="AM38" s="438" t="n"/>
      <c r="AN38" s="438" t="n"/>
      <c r="AO38" s="438" t="n"/>
      <c r="AP38" s="438" t="n"/>
      <c r="AQ38" s="438" t="n"/>
      <c r="AR38" s="438" t="n"/>
      <c r="AS38" s="438" t="n"/>
      <c r="AT38" s="438" t="n"/>
      <c r="AU38" s="438" t="n"/>
      <c r="AV38" s="438" t="n"/>
      <c r="AW38" s="438" t="n"/>
      <c r="AX38" s="438" t="n"/>
      <c r="AY38" s="438" t="n"/>
      <c r="AZ38" s="438" t="n"/>
      <c r="BA38" s="438" t="n"/>
      <c r="BB38" s="438" t="n"/>
      <c r="BC38" s="438" t="n"/>
      <c r="BD38" s="438" t="n"/>
      <c r="BE38" s="438" t="n"/>
      <c r="BF38" s="438" t="n"/>
      <c r="BG38" s="438" t="n"/>
      <c r="BH38" s="438" t="n"/>
      <c r="BI38" s="438" t="n"/>
      <c r="BJ38" s="438" t="n"/>
      <c r="BK38" s="438" t="n"/>
      <c r="BL38" s="438" t="n"/>
      <c r="BM38" s="438" t="n"/>
      <c r="BN38" s="438" t="n"/>
      <c r="BO38" s="438" t="n"/>
      <c r="BP38" s="438" t="n"/>
      <c r="BQ38" s="438" t="n"/>
      <c r="BR38" s="438" t="n"/>
      <c r="BS38" s="438" t="n"/>
      <c r="BT38" s="438" t="n"/>
      <c r="BU38" s="438" t="n"/>
      <c r="BV38" s="450" t="n"/>
      <c r="BW38" s="441" t="n"/>
      <c r="BX38" s="450" t="n"/>
      <c r="BY38" s="441" t="n"/>
      <c r="BZ38" s="450" t="n"/>
      <c r="CA38" s="450" t="n"/>
      <c r="CB38" s="450" t="n"/>
      <c r="CC38" s="450" t="n"/>
    </row>
    <row r="39" ht="14.25" customFormat="1" customHeight="1" s="424">
      <c r="A39" s="520" t="n"/>
      <c r="B39" s="520" t="n"/>
      <c r="C39" s="520" t="n"/>
      <c r="D39" s="521" t="n"/>
      <c r="E39" s="438" t="n"/>
      <c r="F39" s="438" t="n"/>
      <c r="G39" s="521" t="n"/>
      <c r="H39" s="521" t="n"/>
      <c r="I39" s="521" t="n"/>
      <c r="J39" s="521" t="n"/>
      <c r="K39" s="521" t="n"/>
      <c r="L39" s="521" t="n"/>
      <c r="M39" s="521" t="n"/>
      <c r="N39" s="521" t="n"/>
      <c r="O39" s="438" t="n"/>
      <c r="P39" s="438" t="n"/>
      <c r="Q39" s="438" t="n"/>
      <c r="R39" s="438" t="n"/>
      <c r="S39" s="438" t="n"/>
      <c r="T39" s="438">
        <f>#REF!-#REF!</f>
        <v/>
      </c>
      <c r="U39" s="438" t="n"/>
      <c r="V39" s="438" t="n"/>
      <c r="W39" s="438" t="n"/>
      <c r="X39" s="438" t="n"/>
      <c r="Y39" s="438" t="n"/>
      <c r="Z39" s="438" t="n"/>
      <c r="AA39" s="438" t="n"/>
      <c r="AB39" s="438" t="n"/>
      <c r="AC39" s="438" t="n"/>
      <c r="AD39" s="438" t="n"/>
      <c r="AE39" s="438" t="n"/>
      <c r="AF39" s="438" t="n"/>
      <c r="AG39" s="438" t="n"/>
      <c r="AH39" s="438" t="n"/>
      <c r="AI39" s="438" t="n"/>
      <c r="AJ39" s="438" t="n"/>
      <c r="AK39" s="438" t="n"/>
      <c r="AL39" s="438" t="n"/>
      <c r="AM39" s="438" t="n"/>
      <c r="AN39" s="438" t="n"/>
      <c r="AO39" s="438" t="n"/>
      <c r="AP39" s="438" t="n"/>
      <c r="AQ39" s="438" t="n"/>
      <c r="AR39" s="438" t="n">
        <v>3520</v>
      </c>
      <c r="AS39" s="438" t="n">
        <v>3380</v>
      </c>
      <c r="AT39" s="438" t="n"/>
      <c r="AU39" s="438" t="n"/>
      <c r="AV39" s="438" t="n"/>
      <c r="AW39" s="438" t="n"/>
      <c r="AX39" s="438" t="n"/>
      <c r="AY39" s="438" t="n"/>
      <c r="AZ39" s="438" t="n"/>
      <c r="BA39" s="438" t="n"/>
      <c r="BB39" s="438" t="n"/>
      <c r="BC39" s="438" t="n"/>
      <c r="BD39" s="438" t="n"/>
      <c r="BE39" s="438" t="n"/>
      <c r="BF39" s="438" t="n"/>
      <c r="BG39" s="438" t="n"/>
      <c r="BH39" s="438" t="n"/>
      <c r="BI39" s="438" t="n"/>
      <c r="BJ39" s="438" t="n"/>
      <c r="BK39" s="438" t="n"/>
      <c r="BL39" s="438" t="n"/>
      <c r="BM39" s="438" t="n"/>
      <c r="BN39" s="438" t="n"/>
      <c r="BO39" s="438" t="n"/>
      <c r="BP39" s="438" t="n">
        <v>3520</v>
      </c>
      <c r="BQ39" s="438" t="n">
        <v>3380</v>
      </c>
      <c r="BR39" s="438" t="n"/>
      <c r="BS39" s="438" t="n"/>
      <c r="BT39" s="438" t="n"/>
      <c r="BU39" s="438" t="n"/>
      <c r="BV39" s="450" t="n"/>
      <c r="BW39" s="441" t="n"/>
      <c r="BX39" s="450" t="n"/>
      <c r="BY39" s="441" t="n"/>
      <c r="BZ39" s="450" t="n"/>
      <c r="CA39" s="450" t="n"/>
      <c r="CB39" s="450" t="n"/>
      <c r="CC39" s="450" t="n"/>
    </row>
    <row r="40" customFormat="1" s="424">
      <c r="A40" s="520" t="n"/>
      <c r="B40" s="520" t="n"/>
      <c r="C40" s="520" t="n"/>
      <c r="D40" s="521" t="n"/>
      <c r="E40" s="438" t="n"/>
      <c r="F40" s="438" t="n"/>
      <c r="G40" s="521" t="n"/>
      <c r="H40" s="521" t="n"/>
      <c r="I40" s="521" t="n"/>
      <c r="J40" s="521" t="n"/>
      <c r="K40" s="521" t="n"/>
      <c r="L40" s="521" t="n"/>
      <c r="M40" s="521" t="n"/>
      <c r="N40" s="521" t="n"/>
      <c r="O40" s="438" t="n"/>
      <c r="P40" s="438" t="n"/>
      <c r="Q40" s="438" t="n"/>
      <c r="R40" s="438" t="n"/>
      <c r="S40" s="438" t="n"/>
      <c r="T40" s="438" t="n"/>
      <c r="U40" s="438" t="n"/>
      <c r="V40" s="438" t="n"/>
      <c r="W40" s="438" t="n"/>
      <c r="X40" s="438" t="n"/>
      <c r="Y40" s="438" t="n"/>
      <c r="Z40" s="438" t="n"/>
      <c r="AA40" s="438" t="n"/>
      <c r="AB40" s="438" t="n"/>
      <c r="AC40" s="438" t="n"/>
      <c r="AD40" s="438" t="n"/>
      <c r="AE40" s="438" t="n"/>
      <c r="AF40" s="438" t="n"/>
      <c r="AG40" s="438" t="n"/>
      <c r="AH40" s="438" t="n"/>
      <c r="AI40" s="438" t="n"/>
      <c r="AJ40" s="438" t="n"/>
      <c r="AK40" s="438" t="n"/>
      <c r="AL40" s="438" t="n"/>
      <c r="AM40" s="438" t="n"/>
      <c r="AN40" s="438" t="n"/>
      <c r="AO40" s="438" t="n"/>
      <c r="AP40" s="438" t="n"/>
      <c r="AQ40" s="438" t="n"/>
      <c r="AR40" s="438" t="n"/>
      <c r="AS40" s="438" t="n"/>
      <c r="AT40" s="438" t="n"/>
      <c r="AU40" s="438" t="n"/>
      <c r="AV40" s="438" t="n"/>
      <c r="AW40" s="438" t="n"/>
      <c r="AX40" s="438" t="n"/>
      <c r="AY40" s="438" t="n"/>
      <c r="AZ40" s="438" t="n"/>
      <c r="BA40" s="438" t="n"/>
      <c r="BB40" s="438" t="n"/>
      <c r="BC40" s="438" t="n"/>
      <c r="BD40" s="438" t="n"/>
      <c r="BE40" s="438" t="n"/>
      <c r="BF40" s="438" t="n"/>
      <c r="BG40" s="438" t="n"/>
      <c r="BH40" s="438" t="n"/>
      <c r="BI40" s="438" t="n"/>
      <c r="BJ40" s="438" t="n"/>
      <c r="BK40" s="438" t="n"/>
      <c r="BL40" s="438" t="n"/>
      <c r="BM40" s="438" t="n"/>
      <c r="BN40" s="438" t="n"/>
      <c r="BO40" s="438" t="n"/>
      <c r="BP40" s="438" t="n"/>
      <c r="BQ40" s="438" t="n"/>
      <c r="BR40" s="438" t="n"/>
      <c r="BS40" s="438" t="n"/>
      <c r="BT40" s="438" t="n"/>
      <c r="BU40" s="438" t="n"/>
      <c r="BV40" s="450" t="n"/>
      <c r="BW40" s="441" t="n"/>
      <c r="BX40" s="450" t="n"/>
      <c r="BY40" s="441" t="n"/>
      <c r="BZ40" s="450" t="n"/>
      <c r="CA40" s="450" t="n"/>
      <c r="CB40" s="450" t="n"/>
      <c r="CC40" s="450" t="n"/>
    </row>
    <row r="41" ht="14.25" customFormat="1" customHeight="1" s="424">
      <c r="A41" s="520" t="n"/>
      <c r="B41" s="520" t="n"/>
      <c r="C41" s="520" t="n"/>
      <c r="D41" s="521" t="n"/>
      <c r="E41" s="438" t="n"/>
      <c r="F41" s="438" t="n"/>
      <c r="G41" s="521" t="n"/>
      <c r="H41" s="521" t="n"/>
      <c r="I41" s="521" t="n"/>
      <c r="J41" s="521" t="n"/>
      <c r="K41" s="521" t="n"/>
      <c r="L41" s="521" t="n"/>
      <c r="M41" s="521" t="n"/>
      <c r="N41" s="521" t="n"/>
      <c r="O41" s="438" t="n"/>
      <c r="P41" s="438" t="n"/>
      <c r="Q41" s="438" t="n"/>
      <c r="R41" s="438" t="n"/>
      <c r="S41" s="438" t="n"/>
      <c r="T41" s="438">
        <f>#REF!-#REF!</f>
        <v/>
      </c>
      <c r="U41" s="438" t="n"/>
      <c r="V41" s="438" t="n"/>
      <c r="W41" s="438" t="n"/>
      <c r="X41" s="438" t="n"/>
      <c r="Y41" s="438" t="n"/>
      <c r="Z41" s="438" t="n"/>
      <c r="AA41" s="438" t="n"/>
      <c r="AB41" s="438" t="n"/>
      <c r="AC41" s="438" t="n"/>
      <c r="AD41" s="438" t="n"/>
      <c r="AE41" s="438" t="n"/>
      <c r="AF41" s="438" t="n"/>
      <c r="AG41" s="438" t="n"/>
      <c r="AH41" s="438" t="n"/>
      <c r="AI41" s="438" t="n"/>
      <c r="AJ41" s="438" t="n"/>
      <c r="AK41" s="438" t="n"/>
      <c r="AL41" s="438" t="n"/>
      <c r="AM41" s="438" t="n"/>
      <c r="AN41" s="438" t="n"/>
      <c r="AO41" s="438" t="n"/>
      <c r="AP41" s="438" t="n"/>
      <c r="AQ41" s="438" t="n"/>
      <c r="AR41" s="438" t="n">
        <v>3380</v>
      </c>
      <c r="AS41" s="438" t="n">
        <v>3210</v>
      </c>
      <c r="AT41" s="438" t="n"/>
      <c r="AU41" s="438" t="n"/>
      <c r="AV41" s="438" t="n"/>
      <c r="AW41" s="438" t="n"/>
      <c r="AX41" s="438" t="n"/>
      <c r="AY41" s="438" t="n"/>
      <c r="AZ41" s="438" t="n"/>
      <c r="BA41" s="438" t="n"/>
      <c r="BB41" s="438" t="n"/>
      <c r="BC41" s="438" t="n"/>
      <c r="BD41" s="438" t="n"/>
      <c r="BE41" s="438" t="n"/>
      <c r="BF41" s="438" t="n"/>
      <c r="BG41" s="438" t="n"/>
      <c r="BH41" s="438" t="n"/>
      <c r="BI41" s="438" t="n"/>
      <c r="BJ41" s="438" t="n"/>
      <c r="BK41" s="438" t="n"/>
      <c r="BL41" s="438" t="n"/>
      <c r="BM41" s="438" t="n"/>
      <c r="BN41" s="438" t="n"/>
      <c r="BO41" s="438" t="n"/>
      <c r="BP41" s="438" t="n">
        <v>3380</v>
      </c>
      <c r="BQ41" s="438" t="n">
        <v>3210</v>
      </c>
      <c r="BR41" s="438" t="n"/>
      <c r="BS41" s="438" t="n"/>
      <c r="BT41" s="438" t="n"/>
      <c r="BU41" s="438" t="n"/>
      <c r="BV41" s="450" t="n"/>
      <c r="BW41" s="441" t="n"/>
      <c r="BX41" s="450" t="n"/>
      <c r="BY41" s="441" t="n"/>
      <c r="BZ41" s="450" t="n"/>
      <c r="CA41" s="450" t="n"/>
      <c r="CB41" s="450" t="n"/>
      <c r="CC41" s="450" t="n"/>
    </row>
    <row r="42" ht="14.25" customFormat="1" customHeight="1" s="424">
      <c r="A42" s="520" t="n"/>
      <c r="B42" s="520" t="n"/>
      <c r="C42" s="520" t="n"/>
      <c r="D42" s="521" t="n"/>
      <c r="E42" s="438" t="n"/>
      <c r="F42" s="438" t="n"/>
      <c r="G42" s="521" t="n"/>
      <c r="H42" s="521" t="n"/>
      <c r="I42" s="521" t="n"/>
      <c r="J42" s="521" t="n"/>
      <c r="K42" s="521" t="n"/>
      <c r="L42" s="521" t="n"/>
      <c r="M42" s="521" t="n"/>
      <c r="N42" s="521" t="n"/>
      <c r="O42" s="438" t="n"/>
      <c r="P42" s="438" t="n"/>
      <c r="Q42" s="438" t="n"/>
      <c r="R42" s="438" t="n"/>
      <c r="S42" s="438" t="n"/>
      <c r="T42" s="438" t="n"/>
      <c r="U42" s="438" t="n"/>
      <c r="V42" s="438" t="n"/>
      <c r="W42" s="438" t="n"/>
      <c r="X42" s="438" t="n"/>
      <c r="Y42" s="438" t="n"/>
      <c r="Z42" s="438" t="n"/>
      <c r="AA42" s="438" t="n"/>
      <c r="AB42" s="438" t="n"/>
      <c r="AC42" s="438" t="n"/>
      <c r="AD42" s="438" t="n"/>
      <c r="AE42" s="438" t="n"/>
      <c r="AF42" s="438" t="n"/>
      <c r="AG42" s="438" t="n"/>
      <c r="AH42" s="438" t="n"/>
      <c r="AI42" s="438" t="n"/>
      <c r="AJ42" s="438" t="n"/>
      <c r="AK42" s="438" t="n"/>
      <c r="AL42" s="438" t="n"/>
      <c r="AM42" s="438" t="n"/>
      <c r="AN42" s="438" t="n"/>
      <c r="AO42" s="438" t="n"/>
      <c r="AP42" s="438" t="n"/>
      <c r="AQ42" s="438" t="n"/>
      <c r="AR42" s="438" t="n"/>
      <c r="AS42" s="438" t="n"/>
      <c r="AT42" s="438" t="n"/>
      <c r="AU42" s="438" t="n"/>
      <c r="AV42" s="438" t="n"/>
      <c r="AW42" s="438" t="n"/>
      <c r="AX42" s="438" t="n"/>
      <c r="AY42" s="438" t="n"/>
      <c r="AZ42" s="438" t="n"/>
      <c r="BA42" s="438" t="n"/>
      <c r="BB42" s="438" t="n"/>
      <c r="BC42" s="438" t="n"/>
      <c r="BD42" s="438" t="n"/>
      <c r="BE42" s="438" t="n"/>
      <c r="BF42" s="438" t="n"/>
      <c r="BG42" s="438" t="n"/>
      <c r="BH42" s="438" t="n"/>
      <c r="BI42" s="438" t="n"/>
      <c r="BJ42" s="438" t="n"/>
      <c r="BK42" s="438" t="n"/>
      <c r="BL42" s="438" t="n"/>
      <c r="BM42" s="438" t="n"/>
      <c r="BN42" s="438" t="n"/>
      <c r="BO42" s="438" t="n"/>
      <c r="BP42" s="438" t="n"/>
      <c r="BQ42" s="438" t="n"/>
      <c r="BR42" s="438" t="n"/>
      <c r="BS42" s="438" t="n"/>
      <c r="BT42" s="438" t="n"/>
      <c r="BU42" s="438" t="n"/>
      <c r="BV42" s="450" t="n"/>
      <c r="BW42" s="441" t="n"/>
      <c r="BX42" s="450" t="n"/>
      <c r="BY42" s="441" t="n"/>
      <c r="BZ42" s="450" t="n"/>
      <c r="CA42" s="450" t="n"/>
      <c r="CB42" s="450" t="n"/>
      <c r="CC42" s="450" t="n"/>
    </row>
    <row r="43" ht="14.25" customFormat="1" customHeight="1" s="424">
      <c r="A43" s="520" t="n"/>
      <c r="B43" s="520" t="n"/>
      <c r="C43" s="520" t="n"/>
      <c r="D43" s="521" t="n"/>
      <c r="E43" s="438" t="n"/>
      <c r="F43" s="438" t="n"/>
      <c r="G43" s="521" t="n"/>
      <c r="H43" s="521" t="n"/>
      <c r="I43" s="521" t="n"/>
      <c r="J43" s="521" t="n"/>
      <c r="K43" s="521" t="n"/>
      <c r="L43" s="521" t="n"/>
      <c r="M43" s="521" t="n"/>
      <c r="N43" s="521" t="n"/>
      <c r="O43" s="438" t="n"/>
      <c r="P43" s="438" t="n"/>
      <c r="Q43" s="438" t="n"/>
      <c r="R43" s="438" t="n"/>
      <c r="S43" s="438" t="n"/>
      <c r="T43" s="438" t="n"/>
      <c r="U43" s="438" t="n"/>
      <c r="V43" s="438" t="n"/>
      <c r="W43" s="438" t="n"/>
      <c r="X43" s="438" t="n"/>
      <c r="Y43" s="438" t="n"/>
      <c r="Z43" s="438" t="n"/>
      <c r="AA43" s="438" t="n"/>
      <c r="AB43" s="438" t="n"/>
      <c r="AC43" s="438" t="n"/>
      <c r="AD43" s="438" t="n"/>
      <c r="AE43" s="438" t="n"/>
      <c r="AF43" s="438" t="n"/>
      <c r="AG43" s="438" t="n"/>
      <c r="AH43" s="438" t="n"/>
      <c r="AI43" s="438" t="n"/>
      <c r="AJ43" s="438" t="n"/>
      <c r="AK43" s="438" t="n"/>
      <c r="AL43" s="438" t="n"/>
      <c r="AM43" s="438" t="n"/>
      <c r="AN43" s="438" t="n"/>
      <c r="AO43" s="438" t="n"/>
      <c r="AP43" s="438" t="n"/>
      <c r="AQ43" s="438" t="n"/>
      <c r="AR43" s="438" t="n"/>
      <c r="AS43" s="438" t="n"/>
      <c r="AT43" s="438" t="n"/>
      <c r="AU43" s="438" t="n"/>
      <c r="AV43" s="438" t="n"/>
      <c r="AW43" s="438" t="n"/>
      <c r="AX43" s="438" t="n"/>
      <c r="AY43" s="438" t="n"/>
      <c r="AZ43" s="438" t="n"/>
      <c r="BA43" s="438" t="n"/>
      <c r="BB43" s="438" t="n"/>
      <c r="BC43" s="438" t="n"/>
      <c r="BD43" s="438" t="n"/>
      <c r="BE43" s="438" t="n"/>
      <c r="BF43" s="438" t="n"/>
      <c r="BG43" s="438" t="n"/>
      <c r="BH43" s="438" t="n"/>
      <c r="BI43" s="438" t="n"/>
      <c r="BJ43" s="438" t="n"/>
      <c r="BK43" s="438" t="n"/>
      <c r="BL43" s="438" t="n"/>
      <c r="BM43" s="438" t="n"/>
      <c r="BN43" s="438" t="n"/>
      <c r="BO43" s="438" t="n"/>
      <c r="BP43" s="438" t="n"/>
      <c r="BQ43" s="438" t="n"/>
      <c r="BR43" s="438" t="n"/>
      <c r="BS43" s="438" t="n"/>
      <c r="BT43" s="438" t="n"/>
      <c r="BU43" s="438" t="n"/>
      <c r="BV43" s="450" t="n"/>
      <c r="BW43" s="441" t="n"/>
      <c r="BX43" s="450" t="n"/>
      <c r="BY43" s="441" t="n"/>
      <c r="BZ43" s="450" t="n"/>
      <c r="CA43" s="450" t="n"/>
      <c r="CB43" s="450" t="n"/>
      <c r="CC43" s="450" t="n"/>
    </row>
    <row r="44" ht="14.25" customFormat="1" customHeight="1" s="424">
      <c r="A44" s="520" t="n"/>
      <c r="B44" s="520" t="n"/>
      <c r="C44" s="520" t="n"/>
      <c r="D44" s="521" t="n"/>
      <c r="E44" s="438" t="n"/>
      <c r="F44" s="438" t="n"/>
      <c r="G44" s="521" t="n"/>
      <c r="H44" s="521" t="n"/>
      <c r="I44" s="521" t="n"/>
      <c r="J44" s="521" t="n"/>
      <c r="K44" s="521" t="n"/>
      <c r="L44" s="521" t="n"/>
      <c r="M44" s="521" t="n"/>
      <c r="N44" s="521" t="n"/>
      <c r="O44" s="438" t="n"/>
      <c r="P44" s="438" t="n"/>
      <c r="Q44" s="438" t="n"/>
      <c r="R44" s="438" t="n"/>
      <c r="S44" s="438" t="n"/>
      <c r="T44" s="438" t="n"/>
      <c r="U44" s="438" t="n"/>
      <c r="V44" s="438" t="n"/>
      <c r="W44" s="438" t="n"/>
      <c r="X44" s="438" t="n"/>
      <c r="Y44" s="438" t="n"/>
      <c r="Z44" s="438" t="n"/>
      <c r="AA44" s="438" t="n"/>
      <c r="AB44" s="438" t="n"/>
      <c r="AC44" s="438" t="n"/>
      <c r="AD44" s="438" t="n"/>
      <c r="AE44" s="438" t="n"/>
      <c r="AF44" s="438" t="n"/>
      <c r="AG44" s="438" t="n"/>
      <c r="AH44" s="438" t="n"/>
      <c r="AI44" s="438" t="n"/>
      <c r="AJ44" s="438" t="n"/>
      <c r="AK44" s="438" t="n"/>
      <c r="AL44" s="438" t="n"/>
      <c r="AM44" s="438" t="n"/>
      <c r="AN44" s="438" t="n"/>
      <c r="AO44" s="438" t="n"/>
      <c r="AP44" s="438" t="n"/>
      <c r="AQ44" s="438" t="n"/>
      <c r="AR44" s="438" t="n"/>
      <c r="AS44" s="438" t="n"/>
      <c r="AT44" s="438" t="n"/>
      <c r="AU44" s="438" t="n"/>
      <c r="AV44" s="438" t="n"/>
      <c r="AW44" s="438" t="n"/>
      <c r="AX44" s="438" t="n"/>
      <c r="AY44" s="438" t="n"/>
      <c r="AZ44" s="438" t="n"/>
      <c r="BA44" s="438" t="n"/>
      <c r="BB44" s="438" t="n"/>
      <c r="BC44" s="438" t="n"/>
      <c r="BD44" s="438" t="n"/>
      <c r="BE44" s="438" t="n"/>
      <c r="BF44" s="438" t="n"/>
      <c r="BG44" s="438" t="n"/>
      <c r="BH44" s="438" t="n"/>
      <c r="BI44" s="438" t="n"/>
      <c r="BJ44" s="438" t="n"/>
      <c r="BK44" s="438" t="n"/>
      <c r="BL44" s="438" t="n"/>
      <c r="BM44" s="438" t="n"/>
      <c r="BN44" s="438" t="n"/>
      <c r="BO44" s="438" t="n"/>
      <c r="BP44" s="438" t="n"/>
      <c r="BQ44" s="438" t="n"/>
      <c r="BR44" s="438" t="n"/>
      <c r="BS44" s="438" t="n"/>
      <c r="BT44" s="438" t="n"/>
      <c r="BU44" s="438" t="n"/>
      <c r="BV44" s="450" t="n"/>
      <c r="BW44" s="441" t="n"/>
      <c r="BX44" s="450" t="n"/>
      <c r="BY44" s="441" t="n"/>
      <c r="BZ44" s="450" t="n"/>
      <c r="CA44" s="450" t="n"/>
      <c r="CB44" s="450" t="n"/>
      <c r="CC44" s="450" t="n"/>
    </row>
    <row r="45" ht="14.25" customFormat="1" customHeight="1" s="424">
      <c r="A45" s="520" t="n"/>
      <c r="B45" s="520" t="n"/>
      <c r="C45" s="520" t="n"/>
      <c r="D45" s="521" t="n"/>
      <c r="E45" s="438" t="n"/>
      <c r="F45" s="438" t="n"/>
      <c r="G45" s="521" t="n"/>
      <c r="H45" s="521" t="n"/>
      <c r="I45" s="521" t="n"/>
      <c r="J45" s="521" t="n"/>
      <c r="K45" s="521" t="n"/>
      <c r="L45" s="521" t="n"/>
      <c r="M45" s="521" t="n"/>
      <c r="N45" s="521" t="n"/>
      <c r="O45" s="438" t="n"/>
      <c r="P45" s="438" t="n"/>
      <c r="Q45" s="438" t="n"/>
      <c r="R45" s="438" t="n"/>
      <c r="S45" s="438" t="n"/>
      <c r="T45" s="438" t="n"/>
      <c r="U45" s="438" t="n"/>
      <c r="V45" s="438" t="n"/>
      <c r="W45" s="438" t="n"/>
      <c r="X45" s="438" t="n"/>
      <c r="Y45" s="438" t="n"/>
      <c r="Z45" s="438" t="n"/>
      <c r="AA45" s="438" t="n"/>
      <c r="AB45" s="438" t="n"/>
      <c r="AC45" s="438" t="n"/>
      <c r="AD45" s="438" t="n"/>
      <c r="AE45" s="438" t="n"/>
      <c r="AF45" s="438" t="n"/>
      <c r="AG45" s="438" t="n"/>
      <c r="AH45" s="438" t="n"/>
      <c r="AI45" s="438" t="n"/>
      <c r="AJ45" s="438" t="n"/>
      <c r="AK45" s="438" t="n"/>
      <c r="AL45" s="438" t="n"/>
      <c r="AM45" s="438" t="n"/>
      <c r="AN45" s="438" t="n"/>
      <c r="AO45" s="438" t="n"/>
      <c r="AP45" s="438" t="n"/>
      <c r="AQ45" s="438" t="n"/>
      <c r="AR45" s="438" t="n"/>
      <c r="AS45" s="438" t="n"/>
      <c r="AT45" s="438" t="n"/>
      <c r="AU45" s="438" t="n"/>
      <c r="AV45" s="438" t="n"/>
      <c r="AW45" s="438" t="n"/>
      <c r="AX45" s="438" t="n"/>
      <c r="AY45" s="438" t="n"/>
      <c r="AZ45" s="438" t="n"/>
      <c r="BA45" s="438" t="n"/>
      <c r="BB45" s="438" t="n"/>
      <c r="BC45" s="438" t="n"/>
      <c r="BD45" s="438" t="n"/>
      <c r="BE45" s="438" t="n"/>
      <c r="BF45" s="438" t="n"/>
      <c r="BG45" s="438" t="n"/>
      <c r="BH45" s="438" t="n"/>
      <c r="BI45" s="438" t="n"/>
      <c r="BJ45" s="438" t="n"/>
      <c r="BK45" s="438" t="n"/>
      <c r="BL45" s="438" t="n"/>
      <c r="BM45" s="438" t="n"/>
      <c r="BN45" s="438" t="n"/>
      <c r="BO45" s="438" t="n"/>
      <c r="BP45" s="438" t="n"/>
      <c r="BQ45" s="438" t="n"/>
      <c r="BR45" s="438" t="n"/>
      <c r="BS45" s="438" t="n"/>
      <c r="BT45" s="438" t="n"/>
      <c r="BU45" s="438" t="n"/>
      <c r="BV45" s="450" t="n"/>
      <c r="BW45" s="441" t="n"/>
      <c r="BX45" s="450" t="n"/>
      <c r="BY45" s="441" t="n"/>
      <c r="BZ45" s="450" t="n"/>
      <c r="CA45" s="450" t="n"/>
      <c r="CB45" s="450" t="n"/>
      <c r="CC45" s="450" t="n"/>
    </row>
    <row r="46" ht="14.25" customFormat="1" customHeight="1" s="424">
      <c r="A46" s="520" t="n"/>
      <c r="B46" s="520" t="n"/>
      <c r="C46" s="520" t="n"/>
      <c r="D46" s="521" t="n"/>
      <c r="E46" s="438" t="n"/>
      <c r="F46" s="438" t="n"/>
      <c r="G46" s="521" t="n"/>
      <c r="H46" s="521" t="n"/>
      <c r="I46" s="521" t="n"/>
      <c r="J46" s="521" t="n"/>
      <c r="K46" s="521" t="n"/>
      <c r="L46" s="521" t="n"/>
      <c r="M46" s="521" t="n"/>
      <c r="N46" s="521" t="n"/>
      <c r="O46" s="438" t="n"/>
      <c r="P46" s="438" t="n"/>
      <c r="Q46" s="438" t="n"/>
      <c r="R46" s="438" t="n"/>
      <c r="S46" s="438" t="n"/>
      <c r="T46" s="438" t="n"/>
      <c r="U46" s="438" t="n"/>
      <c r="V46" s="438" t="n"/>
      <c r="W46" s="438" t="n"/>
      <c r="X46" s="438" t="n"/>
      <c r="Y46" s="438" t="n"/>
      <c r="Z46" s="438" t="n"/>
      <c r="AA46" s="438" t="n"/>
      <c r="AB46" s="438" t="n"/>
      <c r="AC46" s="438" t="n"/>
      <c r="AD46" s="438" t="n"/>
      <c r="AE46" s="438" t="n"/>
      <c r="AF46" s="438" t="n"/>
      <c r="AG46" s="438" t="n"/>
      <c r="AH46" s="438" t="n"/>
      <c r="AI46" s="438" t="n"/>
      <c r="AJ46" s="438" t="n"/>
      <c r="AK46" s="438" t="n"/>
      <c r="AL46" s="438" t="n"/>
      <c r="AM46" s="438" t="n"/>
      <c r="AN46" s="438" t="n"/>
      <c r="AO46" s="438" t="n"/>
      <c r="AP46" s="438" t="n"/>
      <c r="AQ46" s="438" t="n"/>
      <c r="AR46" s="438" t="n"/>
      <c r="AS46" s="438" t="n"/>
      <c r="AT46" s="438" t="n"/>
      <c r="AU46" s="438" t="n"/>
      <c r="AV46" s="438" t="n"/>
      <c r="AW46" s="438" t="n"/>
      <c r="AX46" s="438" t="n"/>
      <c r="AY46" s="438" t="n"/>
      <c r="AZ46" s="438" t="n"/>
      <c r="BA46" s="438" t="n"/>
      <c r="BB46" s="438" t="n"/>
      <c r="BC46" s="438" t="n"/>
      <c r="BD46" s="438" t="n"/>
      <c r="BE46" s="438" t="n"/>
      <c r="BF46" s="438" t="n"/>
      <c r="BG46" s="438" t="n"/>
      <c r="BH46" s="438" t="n"/>
      <c r="BI46" s="438" t="n"/>
      <c r="BJ46" s="438" t="n"/>
      <c r="BK46" s="438" t="n"/>
      <c r="BL46" s="438" t="n"/>
      <c r="BM46" s="438" t="n"/>
      <c r="BN46" s="438" t="n"/>
      <c r="BO46" s="438" t="n"/>
      <c r="BP46" s="438" t="n"/>
      <c r="BQ46" s="438" t="n"/>
      <c r="BR46" s="438" t="n"/>
      <c r="BS46" s="438" t="n"/>
      <c r="BT46" s="438" t="n"/>
      <c r="BU46" s="438" t="n"/>
      <c r="BV46" s="450" t="n"/>
      <c r="BW46" s="441" t="n"/>
      <c r="BX46" s="450" t="n"/>
      <c r="BY46" s="441" t="n"/>
      <c r="BZ46" s="450" t="n"/>
      <c r="CA46" s="450" t="n"/>
      <c r="CB46" s="450" t="n"/>
      <c r="CC46" s="450" t="n"/>
    </row>
    <row r="47" ht="14.25" customFormat="1" customHeight="1" s="424">
      <c r="A47" s="520" t="n"/>
      <c r="B47" s="520" t="n"/>
      <c r="C47" s="520" t="n"/>
      <c r="D47" s="521" t="n"/>
      <c r="E47" s="438" t="n"/>
      <c r="F47" s="438" t="n"/>
      <c r="G47" s="521" t="n"/>
      <c r="H47" s="521" t="n"/>
      <c r="I47" s="521" t="n"/>
      <c r="J47" s="521" t="n"/>
      <c r="K47" s="521" t="n"/>
      <c r="L47" s="521" t="n"/>
      <c r="M47" s="521" t="n"/>
      <c r="N47" s="521" t="n"/>
      <c r="O47" s="438" t="n"/>
      <c r="P47" s="438" t="n"/>
      <c r="Q47" s="438" t="n"/>
      <c r="R47" s="438" t="n"/>
      <c r="S47" s="438" t="n"/>
      <c r="T47" s="438" t="n"/>
      <c r="U47" s="438" t="n"/>
      <c r="V47" s="438" t="n"/>
      <c r="W47" s="438" t="n"/>
      <c r="X47" s="438" t="n"/>
      <c r="Y47" s="438" t="n"/>
      <c r="Z47" s="438" t="n"/>
      <c r="AA47" s="438" t="n"/>
      <c r="AB47" s="438" t="n"/>
      <c r="AC47" s="438" t="n"/>
      <c r="AD47" s="438" t="n"/>
      <c r="AE47" s="438" t="n"/>
      <c r="AF47" s="438" t="n"/>
      <c r="AG47" s="438" t="n"/>
      <c r="AH47" s="438" t="n"/>
      <c r="AI47" s="438" t="n"/>
      <c r="AJ47" s="438" t="n"/>
      <c r="AK47" s="438" t="n"/>
      <c r="AL47" s="438" t="n"/>
      <c r="AM47" s="438" t="n"/>
      <c r="AN47" s="438" t="n"/>
      <c r="AO47" s="438" t="n"/>
      <c r="AP47" s="438" t="n"/>
      <c r="AQ47" s="438" t="n"/>
      <c r="AR47" s="438" t="n"/>
      <c r="AS47" s="438" t="n"/>
      <c r="AT47" s="438" t="n"/>
      <c r="AU47" s="438" t="n"/>
      <c r="AV47" s="438" t="n"/>
      <c r="AW47" s="438" t="n"/>
      <c r="AX47" s="438" t="n"/>
      <c r="AY47" s="438" t="n"/>
      <c r="AZ47" s="438" t="n"/>
      <c r="BA47" s="438" t="n"/>
      <c r="BB47" s="438" t="n"/>
      <c r="BC47" s="438" t="n"/>
      <c r="BD47" s="438" t="n"/>
      <c r="BE47" s="438" t="n"/>
      <c r="BF47" s="438" t="n"/>
      <c r="BG47" s="438" t="n"/>
      <c r="BH47" s="438" t="n"/>
      <c r="BI47" s="438" t="n"/>
      <c r="BJ47" s="438" t="n"/>
      <c r="BK47" s="438" t="n"/>
      <c r="BL47" s="438" t="n"/>
      <c r="BM47" s="438" t="n"/>
      <c r="BN47" s="438" t="n"/>
      <c r="BO47" s="438" t="n"/>
      <c r="BP47" s="438" t="n"/>
      <c r="BQ47" s="438" t="n"/>
      <c r="BR47" s="438" t="n"/>
      <c r="BS47" s="438" t="n"/>
      <c r="BT47" s="438" t="n"/>
      <c r="BU47" s="438" t="n"/>
      <c r="BV47" s="450" t="n"/>
      <c r="BW47" s="441" t="n"/>
      <c r="BX47" s="450" t="n"/>
      <c r="BY47" s="441" t="n"/>
      <c r="BZ47" s="450" t="n"/>
      <c r="CA47" s="450" t="n"/>
      <c r="CB47" s="450" t="n"/>
      <c r="CC47" s="450" t="n"/>
    </row>
    <row r="48" ht="14.25" customFormat="1" customHeight="1" s="424">
      <c r="A48" s="520" t="n"/>
      <c r="B48" s="520" t="n"/>
      <c r="C48" s="520" t="n"/>
      <c r="D48" s="521" t="n"/>
      <c r="E48" s="438" t="n"/>
      <c r="F48" s="438" t="n"/>
      <c r="G48" s="521" t="n"/>
      <c r="H48" s="521" t="n"/>
      <c r="I48" s="521" t="n"/>
      <c r="J48" s="521" t="n"/>
      <c r="K48" s="521" t="n"/>
      <c r="L48" s="521" t="n"/>
      <c r="M48" s="521" t="n"/>
      <c r="N48" s="521" t="n"/>
      <c r="O48" s="438" t="n"/>
      <c r="P48" s="438" t="n"/>
      <c r="Q48" s="438" t="n"/>
      <c r="R48" s="438" t="n"/>
      <c r="S48" s="438" t="n"/>
      <c r="T48" s="438" t="n"/>
      <c r="U48" s="438" t="n"/>
      <c r="V48" s="438" t="n"/>
      <c r="W48" s="438" t="n"/>
      <c r="X48" s="438" t="n"/>
      <c r="Y48" s="438" t="n"/>
      <c r="Z48" s="438" t="n"/>
      <c r="AA48" s="438" t="n"/>
      <c r="AB48" s="438" t="n"/>
      <c r="AC48" s="438" t="n"/>
      <c r="AD48" s="438" t="n"/>
      <c r="AE48" s="438" t="n"/>
      <c r="AF48" s="438" t="n"/>
      <c r="AG48" s="438" t="n"/>
      <c r="AH48" s="438" t="n"/>
      <c r="AI48" s="438" t="n"/>
      <c r="AJ48" s="438" t="n"/>
      <c r="AK48" s="438" t="n"/>
      <c r="AL48" s="438" t="n"/>
      <c r="AM48" s="438" t="n"/>
      <c r="AN48" s="438" t="n"/>
      <c r="AO48" s="438" t="n"/>
      <c r="AP48" s="438" t="n"/>
      <c r="AQ48" s="438" t="n"/>
      <c r="AR48" s="438" t="n"/>
      <c r="AS48" s="438" t="n"/>
      <c r="AT48" s="438" t="n"/>
      <c r="AU48" s="438" t="n"/>
      <c r="AV48" s="438" t="n"/>
      <c r="AW48" s="438" t="n"/>
      <c r="AX48" s="438" t="n"/>
      <c r="AY48" s="438" t="n"/>
      <c r="AZ48" s="438" t="n"/>
      <c r="BA48" s="438" t="n"/>
      <c r="BB48" s="438" t="n"/>
      <c r="BC48" s="438" t="n"/>
      <c r="BD48" s="438" t="n"/>
      <c r="BE48" s="438" t="n"/>
      <c r="BF48" s="438" t="n"/>
      <c r="BG48" s="438" t="n"/>
      <c r="BH48" s="438" t="n"/>
      <c r="BI48" s="438" t="n"/>
      <c r="BJ48" s="438" t="n"/>
      <c r="BK48" s="438" t="n"/>
      <c r="BL48" s="438" t="n"/>
      <c r="BM48" s="438" t="n"/>
      <c r="BN48" s="438" t="n"/>
      <c r="BO48" s="438" t="n"/>
      <c r="BP48" s="438" t="n"/>
      <c r="BQ48" s="438" t="n"/>
      <c r="BR48" s="438" t="n"/>
      <c r="BS48" s="438" t="n"/>
      <c r="BT48" s="438" t="n"/>
      <c r="BU48" s="438" t="n"/>
      <c r="BV48" s="450" t="n"/>
      <c r="BW48" s="441" t="n"/>
      <c r="BX48" s="450" t="n"/>
      <c r="BY48" s="441" t="n"/>
      <c r="BZ48" s="450" t="n"/>
      <c r="CA48" s="450" t="n"/>
      <c r="CB48" s="450" t="n"/>
      <c r="CC48" s="450" t="n"/>
    </row>
    <row r="49" ht="14.25" customHeight="1" s="527">
      <c r="A49" s="520" t="n"/>
      <c r="B49" s="520" t="n"/>
      <c r="C49" s="520" t="n"/>
      <c r="D49" s="521" t="n"/>
      <c r="E49" s="438" t="n"/>
      <c r="F49" s="438" t="n"/>
      <c r="G49" s="521" t="n"/>
      <c r="H49" s="521" t="n"/>
      <c r="I49" s="521" t="n"/>
      <c r="J49" s="521" t="n"/>
      <c r="K49" s="521" t="n"/>
      <c r="L49" s="521" t="n"/>
      <c r="M49" s="521" t="n"/>
      <c r="N49" s="521" t="n"/>
      <c r="O49" s="438" t="n"/>
      <c r="P49" s="438" t="n"/>
      <c r="Q49" s="438" t="n"/>
      <c r="R49" s="438" t="n"/>
      <c r="S49" s="438" t="n"/>
      <c r="T49" s="438" t="n"/>
      <c r="U49" s="438" t="n"/>
      <c r="V49" s="438" t="n"/>
      <c r="W49" s="438" t="n"/>
      <c r="X49" s="438" t="n"/>
      <c r="Y49" s="438" t="n"/>
      <c r="Z49" s="438" t="n"/>
      <c r="AA49" s="438" t="n"/>
      <c r="AB49" s="438" t="n"/>
      <c r="AC49" s="438" t="n"/>
      <c r="AD49" s="438" t="n"/>
      <c r="AE49" s="438" t="n"/>
      <c r="AF49" s="438" t="n"/>
      <c r="AG49" s="438" t="n"/>
      <c r="AH49" s="438" t="n"/>
      <c r="AI49" s="438" t="n"/>
      <c r="AJ49" s="438" t="n"/>
      <c r="AK49" s="438" t="n"/>
      <c r="AL49" s="438" t="n"/>
      <c r="AM49" s="438" t="n"/>
      <c r="AN49" s="438" t="n"/>
      <c r="AO49" s="438" t="n"/>
      <c r="AP49" s="438" t="n"/>
      <c r="AQ49" s="438" t="n"/>
      <c r="AR49" s="438" t="n"/>
      <c r="AS49" s="438" t="n"/>
      <c r="AT49" s="438" t="n"/>
      <c r="AU49" s="438" t="n"/>
      <c r="AV49" s="438" t="n"/>
      <c r="AW49" s="438" t="n"/>
      <c r="AX49" s="438" t="n"/>
      <c r="AY49" s="438" t="n"/>
      <c r="AZ49" s="438" t="n"/>
      <c r="BA49" s="438" t="n"/>
      <c r="BB49" s="438" t="n"/>
      <c r="BC49" s="438" t="n"/>
      <c r="BD49" s="438" t="n"/>
      <c r="BE49" s="438" t="n"/>
      <c r="BF49" s="438" t="n"/>
      <c r="BG49" s="438" t="n"/>
      <c r="BH49" s="438" t="n"/>
      <c r="BI49" s="438" t="n"/>
      <c r="BJ49" s="438" t="n"/>
      <c r="BK49" s="438" t="n"/>
      <c r="BL49" s="438" t="n"/>
      <c r="BM49" s="438" t="n"/>
      <c r="BN49" s="438" t="n"/>
      <c r="BO49" s="438" t="n"/>
      <c r="BP49" s="438" t="n"/>
      <c r="BQ49" s="438" t="n"/>
      <c r="BR49" s="438" t="n"/>
      <c r="BS49" s="438" t="n"/>
      <c r="BT49" s="438" t="n"/>
      <c r="BU49" s="438" t="n"/>
      <c r="BV49" s="450" t="n"/>
      <c r="BW49" s="441" t="n"/>
      <c r="BX49" s="450" t="n"/>
      <c r="BY49" s="441" t="n"/>
      <c r="BZ49" s="450" t="n"/>
      <c r="CA49" s="450" t="n"/>
      <c r="CB49" s="450" t="n"/>
      <c r="CC49" s="450" t="n"/>
    </row>
    <row r="50" ht="14.25" customHeight="1" s="527">
      <c r="A50" s="520" t="n"/>
      <c r="B50" s="520" t="n"/>
      <c r="C50" s="520" t="n"/>
      <c r="D50" s="521" t="n"/>
      <c r="E50" s="438" t="n"/>
      <c r="F50" s="438" t="n"/>
      <c r="G50" s="521" t="n"/>
      <c r="H50" s="521" t="n"/>
      <c r="I50" s="521" t="n"/>
      <c r="J50" s="521" t="n"/>
      <c r="K50" s="521" t="n"/>
      <c r="L50" s="521" t="n"/>
      <c r="M50" s="521" t="n"/>
      <c r="N50" s="521" t="n"/>
      <c r="O50" s="438" t="n"/>
      <c r="P50" s="438" t="n"/>
      <c r="Q50" s="438" t="n"/>
      <c r="R50" s="438" t="n"/>
      <c r="S50" s="438" t="n"/>
      <c r="T50" s="438" t="n"/>
      <c r="U50" s="438" t="n"/>
      <c r="V50" s="438" t="n"/>
      <c r="W50" s="438" t="n"/>
      <c r="X50" s="438" t="n"/>
      <c r="Y50" s="438" t="n"/>
      <c r="Z50" s="438" t="n"/>
      <c r="AA50" s="438" t="n"/>
      <c r="AB50" s="438" t="n"/>
      <c r="AC50" s="438" t="n"/>
      <c r="AD50" s="438" t="n"/>
      <c r="AE50" s="438" t="n"/>
      <c r="AF50" s="438" t="n"/>
      <c r="AG50" s="438" t="n"/>
      <c r="AH50" s="438" t="n"/>
      <c r="AI50" s="438" t="n"/>
      <c r="AJ50" s="438" t="n"/>
      <c r="AK50" s="438" t="n"/>
      <c r="AL50" s="438" t="n"/>
      <c r="AM50" s="438" t="n"/>
      <c r="AN50" s="438" t="n"/>
      <c r="AO50" s="438" t="n"/>
      <c r="AP50" s="438" t="n"/>
      <c r="AQ50" s="438" t="n"/>
      <c r="AR50" s="438" t="n"/>
      <c r="AS50" s="438" t="n"/>
      <c r="AT50" s="438" t="n"/>
      <c r="AU50" s="438" t="n"/>
      <c r="AV50" s="438" t="n"/>
      <c r="AW50" s="438" t="n"/>
      <c r="AX50" s="438" t="n"/>
      <c r="AY50" s="438" t="n"/>
      <c r="AZ50" s="438" t="n"/>
      <c r="BA50" s="438" t="n"/>
      <c r="BB50" s="438" t="n"/>
      <c r="BC50" s="438" t="n"/>
      <c r="BD50" s="438" t="n"/>
      <c r="BE50" s="438" t="n"/>
      <c r="BF50" s="438" t="n"/>
      <c r="BG50" s="438" t="n"/>
      <c r="BH50" s="438" t="n"/>
      <c r="BI50" s="438" t="n"/>
      <c r="BJ50" s="438" t="n"/>
      <c r="BK50" s="438" t="n"/>
      <c r="BL50" s="438" t="n"/>
      <c r="BM50" s="438" t="n"/>
      <c r="BN50" s="438" t="n"/>
      <c r="BO50" s="438" t="n"/>
      <c r="BP50" s="438" t="n"/>
      <c r="BQ50" s="438" t="n"/>
      <c r="BR50" s="438" t="n"/>
      <c r="BS50" s="438" t="n"/>
      <c r="BT50" s="438" t="n"/>
      <c r="BU50" s="438" t="n"/>
      <c r="BV50" s="450" t="n"/>
      <c r="BW50" s="441" t="n"/>
      <c r="BX50" s="450" t="n"/>
      <c r="BY50" s="441" t="n"/>
      <c r="BZ50" s="450" t="n"/>
      <c r="CA50" s="450" t="n"/>
      <c r="CB50" s="450" t="n"/>
      <c r="CC50" s="450" t="n"/>
    </row>
    <row r="51" ht="14.25" customHeight="1" s="527">
      <c r="A51" s="520" t="n"/>
      <c r="B51" s="520" t="n"/>
      <c r="C51" s="520" t="n"/>
      <c r="D51" s="521" t="n"/>
      <c r="E51" s="438" t="n"/>
      <c r="F51" s="438" t="n"/>
      <c r="G51" s="521" t="n"/>
      <c r="H51" s="521" t="n"/>
      <c r="I51" s="521" t="n"/>
      <c r="J51" s="521" t="n"/>
      <c r="K51" s="521" t="n"/>
      <c r="L51" s="521" t="n"/>
      <c r="M51" s="521" t="n"/>
      <c r="N51" s="521" t="n"/>
      <c r="O51" s="438" t="n"/>
      <c r="P51" s="438" t="n"/>
      <c r="Q51" s="438" t="n"/>
      <c r="R51" s="438" t="n"/>
      <c r="S51" s="438" t="n"/>
      <c r="T51" s="438" t="n"/>
      <c r="U51" s="438" t="n"/>
      <c r="V51" s="438" t="n"/>
      <c r="W51" s="438" t="n"/>
      <c r="X51" s="438" t="n"/>
      <c r="Y51" s="438" t="n"/>
      <c r="Z51" s="438" t="n"/>
      <c r="AA51" s="438" t="n"/>
      <c r="AB51" s="438" t="n"/>
      <c r="AC51" s="438" t="n"/>
      <c r="AD51" s="438" t="n"/>
      <c r="AE51" s="438" t="n"/>
      <c r="AF51" s="438" t="n"/>
      <c r="AG51" s="438" t="n"/>
      <c r="AH51" s="438" t="n"/>
      <c r="AI51" s="438" t="n"/>
      <c r="AJ51" s="438" t="n"/>
      <c r="AK51" s="438" t="n"/>
      <c r="AL51" s="438" t="n"/>
      <c r="AM51" s="438" t="n"/>
      <c r="AN51" s="438" t="n"/>
      <c r="AO51" s="438" t="n"/>
      <c r="AP51" s="438" t="n"/>
      <c r="AQ51" s="438" t="n"/>
      <c r="AR51" s="438" t="n"/>
      <c r="AS51" s="438" t="n"/>
      <c r="AT51" s="438" t="n"/>
      <c r="AU51" s="438" t="n"/>
      <c r="AV51" s="438" t="n"/>
      <c r="AW51" s="438" t="n"/>
      <c r="AX51" s="438" t="n"/>
      <c r="AY51" s="438" t="n"/>
      <c r="AZ51" s="438" t="n"/>
      <c r="BA51" s="438" t="n"/>
      <c r="BB51" s="438" t="n"/>
      <c r="BC51" s="438" t="n"/>
      <c r="BD51" s="438" t="n"/>
      <c r="BE51" s="438" t="n"/>
      <c r="BF51" s="438" t="n"/>
      <c r="BG51" s="438" t="n"/>
      <c r="BH51" s="438" t="n"/>
      <c r="BI51" s="438" t="n"/>
      <c r="BJ51" s="438" t="n"/>
      <c r="BK51" s="438" t="n"/>
      <c r="BL51" s="438" t="n"/>
      <c r="BM51" s="438" t="n"/>
      <c r="BN51" s="438" t="n"/>
      <c r="BO51" s="438" t="n"/>
      <c r="BP51" s="438" t="n"/>
      <c r="BQ51" s="438" t="n"/>
      <c r="BR51" s="438" t="n"/>
      <c r="BS51" s="438" t="n"/>
      <c r="BT51" s="438" t="n"/>
      <c r="BU51" s="438" t="n"/>
      <c r="BV51" s="450" t="n"/>
      <c r="BW51" s="441" t="n"/>
      <c r="BX51" s="450" t="n"/>
      <c r="BY51" s="441" t="n"/>
      <c r="BZ51" s="450" t="n"/>
      <c r="CA51" s="450" t="n"/>
      <c r="CB51" s="450" t="n"/>
      <c r="CC51" s="450" t="n"/>
    </row>
    <row r="52" ht="14.25" customHeight="1" s="527">
      <c r="A52" s="520" t="n"/>
      <c r="B52" s="520" t="n"/>
      <c r="C52" s="520" t="n"/>
      <c r="D52" s="521" t="n"/>
      <c r="E52" s="438" t="n"/>
      <c r="F52" s="438" t="n"/>
      <c r="G52" s="521" t="n"/>
      <c r="H52" s="521" t="n"/>
      <c r="I52" s="521" t="n"/>
      <c r="J52" s="521" t="n"/>
      <c r="K52" s="521" t="n"/>
      <c r="L52" s="521" t="n"/>
      <c r="M52" s="521" t="n"/>
      <c r="N52" s="521" t="n"/>
      <c r="O52" s="438" t="n"/>
      <c r="P52" s="438" t="n"/>
      <c r="Q52" s="438" t="n"/>
      <c r="R52" s="438" t="n"/>
      <c r="S52" s="438" t="n"/>
      <c r="T52" s="438" t="n"/>
      <c r="U52" s="438" t="n"/>
      <c r="V52" s="438" t="n"/>
      <c r="W52" s="438" t="n"/>
      <c r="X52" s="438" t="n"/>
      <c r="Y52" s="438" t="n"/>
      <c r="Z52" s="438" t="n"/>
      <c r="AA52" s="438" t="n"/>
      <c r="AB52" s="438" t="n"/>
      <c r="AC52" s="438" t="n"/>
      <c r="AD52" s="438" t="n"/>
      <c r="AE52" s="438" t="n"/>
      <c r="AF52" s="438" t="n"/>
      <c r="AG52" s="438" t="n"/>
      <c r="AH52" s="438" t="n"/>
      <c r="AI52" s="438" t="n"/>
      <c r="AJ52" s="438" t="n"/>
      <c r="AK52" s="438" t="n"/>
      <c r="AL52" s="438" t="n"/>
      <c r="AM52" s="438" t="n"/>
      <c r="AN52" s="438" t="n"/>
      <c r="AO52" s="438" t="n"/>
      <c r="AP52" s="438" t="n"/>
      <c r="AQ52" s="438" t="n"/>
      <c r="AR52" s="438" t="n"/>
      <c r="AS52" s="438" t="n"/>
      <c r="AT52" s="438" t="n"/>
      <c r="AU52" s="438" t="n"/>
      <c r="AV52" s="438" t="n"/>
      <c r="AW52" s="438" t="n"/>
      <c r="AX52" s="438" t="n"/>
      <c r="AY52" s="438" t="n"/>
      <c r="AZ52" s="438" t="n"/>
      <c r="BA52" s="438" t="n"/>
      <c r="BB52" s="438" t="n"/>
      <c r="BC52" s="438" t="n"/>
      <c r="BD52" s="438" t="n"/>
      <c r="BE52" s="438" t="n"/>
      <c r="BF52" s="438" t="n"/>
      <c r="BG52" s="438" t="n"/>
      <c r="BH52" s="438" t="n"/>
      <c r="BI52" s="438" t="n"/>
      <c r="BJ52" s="438" t="n"/>
      <c r="BK52" s="438" t="n"/>
      <c r="BL52" s="438" t="n"/>
      <c r="BM52" s="438" t="n"/>
      <c r="BN52" s="438" t="n"/>
      <c r="BO52" s="438" t="n"/>
      <c r="BP52" s="438" t="n"/>
      <c r="BQ52" s="438" t="n"/>
      <c r="BR52" s="438" t="n"/>
      <c r="BS52" s="438" t="n"/>
      <c r="BT52" s="438" t="n"/>
      <c r="BU52" s="438" t="n"/>
      <c r="BV52" s="450" t="n"/>
      <c r="BW52" s="441" t="n"/>
      <c r="BX52" s="450" t="n"/>
      <c r="BY52" s="441" t="n"/>
      <c r="BZ52" s="450" t="n"/>
      <c r="CA52" s="450" t="n"/>
      <c r="CB52" s="450" t="n"/>
      <c r="CC52" s="450" t="n"/>
    </row>
    <row r="53" ht="14.25" customHeight="1" s="527">
      <c r="A53" s="520" t="n"/>
      <c r="B53" s="520" t="n"/>
      <c r="C53" s="520" t="n"/>
      <c r="D53" s="521" t="n"/>
      <c r="E53" s="438" t="n"/>
      <c r="F53" s="438" t="n"/>
      <c r="G53" s="521" t="n"/>
      <c r="H53" s="521" t="n"/>
      <c r="I53" s="521" t="n"/>
      <c r="J53" s="521" t="n"/>
      <c r="K53" s="521" t="n"/>
      <c r="L53" s="521" t="n"/>
      <c r="M53" s="521" t="n"/>
      <c r="N53" s="521" t="n"/>
      <c r="O53" s="438" t="n"/>
      <c r="P53" s="438" t="n"/>
      <c r="Q53" s="438" t="n"/>
      <c r="R53" s="438" t="n"/>
      <c r="S53" s="438" t="n"/>
      <c r="T53" s="438" t="n"/>
      <c r="U53" s="438" t="n"/>
      <c r="V53" s="438" t="n"/>
      <c r="W53" s="438" t="n"/>
      <c r="X53" s="438" t="n"/>
      <c r="Y53" s="438" t="n"/>
      <c r="Z53" s="438" t="n"/>
      <c r="AA53" s="438" t="n"/>
      <c r="AB53" s="438" t="n"/>
      <c r="AC53" s="438" t="n"/>
      <c r="AD53" s="438" t="n"/>
      <c r="AE53" s="438" t="n"/>
      <c r="AF53" s="438" t="n"/>
      <c r="AG53" s="438" t="n"/>
      <c r="AH53" s="438" t="n"/>
      <c r="AI53" s="438" t="n"/>
      <c r="AJ53" s="438" t="n"/>
      <c r="AK53" s="438" t="n"/>
      <c r="AL53" s="438" t="n"/>
      <c r="AM53" s="438" t="n"/>
      <c r="AN53" s="438" t="n"/>
      <c r="AO53" s="438" t="n"/>
      <c r="AP53" s="438" t="n"/>
      <c r="AQ53" s="438" t="n"/>
      <c r="AR53" s="438" t="n"/>
      <c r="AS53" s="438" t="n"/>
      <c r="AT53" s="438" t="n"/>
      <c r="AU53" s="438" t="n"/>
      <c r="AV53" s="438" t="n"/>
      <c r="AW53" s="438" t="n"/>
      <c r="AX53" s="438" t="n"/>
      <c r="AY53" s="438" t="n"/>
      <c r="AZ53" s="438" t="n"/>
      <c r="BA53" s="438" t="n"/>
      <c r="BB53" s="438" t="n"/>
      <c r="BC53" s="438" t="n"/>
      <c r="BD53" s="438" t="n"/>
      <c r="BE53" s="438" t="n"/>
      <c r="BF53" s="438" t="n"/>
      <c r="BG53" s="438" t="n"/>
      <c r="BH53" s="438" t="n"/>
      <c r="BI53" s="438" t="n"/>
      <c r="BJ53" s="438" t="n"/>
      <c r="BK53" s="438" t="n"/>
      <c r="BL53" s="438" t="n"/>
      <c r="BM53" s="438" t="n"/>
      <c r="BN53" s="438" t="n"/>
      <c r="BO53" s="438" t="n"/>
      <c r="BP53" s="438" t="n"/>
      <c r="BQ53" s="438" t="n"/>
      <c r="BR53" s="438" t="n"/>
      <c r="BS53" s="438" t="n"/>
      <c r="BT53" s="438" t="n"/>
      <c r="BU53" s="438" t="n"/>
      <c r="BV53" s="450" t="n"/>
      <c r="BW53" s="441" t="n"/>
      <c r="BX53" s="450" t="n"/>
      <c r="BY53" s="441" t="n"/>
      <c r="BZ53" s="450" t="n"/>
      <c r="CA53" s="450" t="n"/>
      <c r="CB53" s="450" t="n"/>
      <c r="CC53" s="450" t="n"/>
    </row>
    <row r="54" ht="14.25" customHeight="1" s="527">
      <c r="A54" s="520" t="n"/>
      <c r="B54" s="520" t="n"/>
      <c r="C54" s="520" t="n"/>
      <c r="D54" s="521" t="n"/>
      <c r="E54" s="438" t="n"/>
      <c r="F54" s="438" t="n"/>
      <c r="G54" s="521" t="n"/>
      <c r="H54" s="521" t="n"/>
      <c r="I54" s="521" t="n"/>
      <c r="J54" s="521" t="n"/>
      <c r="K54" s="521" t="n"/>
      <c r="L54" s="521" t="n"/>
      <c r="M54" s="521" t="n"/>
      <c r="N54" s="521" t="n"/>
      <c r="O54" s="438" t="n"/>
      <c r="P54" s="438" t="n"/>
      <c r="Q54" s="438" t="n"/>
      <c r="R54" s="438" t="n"/>
      <c r="S54" s="438" t="n"/>
      <c r="T54" s="438" t="n"/>
      <c r="U54" s="438" t="n"/>
      <c r="V54" s="438" t="n"/>
      <c r="W54" s="438" t="n"/>
      <c r="X54" s="438" t="n"/>
      <c r="Y54" s="438" t="n"/>
      <c r="Z54" s="438" t="n"/>
      <c r="AA54" s="438" t="n"/>
      <c r="AB54" s="438" t="n"/>
      <c r="AC54" s="438" t="n"/>
      <c r="AD54" s="438" t="n"/>
      <c r="AE54" s="438" t="n"/>
      <c r="AF54" s="438" t="n"/>
      <c r="AG54" s="438" t="n"/>
      <c r="AH54" s="438" t="n"/>
      <c r="AI54" s="438" t="n"/>
      <c r="AJ54" s="438" t="n"/>
      <c r="AK54" s="438" t="n"/>
      <c r="AL54" s="438" t="n"/>
      <c r="AM54" s="438" t="n"/>
      <c r="AN54" s="438" t="n"/>
      <c r="AO54" s="438" t="n"/>
      <c r="AP54" s="438" t="n"/>
      <c r="AQ54" s="438" t="n"/>
      <c r="AR54" s="438" t="n"/>
      <c r="AS54" s="438" t="n"/>
      <c r="AT54" s="438" t="n"/>
      <c r="AU54" s="438" t="n"/>
      <c r="AV54" s="438" t="n"/>
      <c r="AW54" s="438" t="n"/>
      <c r="AX54" s="438" t="n"/>
      <c r="AY54" s="438" t="n"/>
      <c r="AZ54" s="438" t="n"/>
      <c r="BA54" s="438" t="n"/>
      <c r="BB54" s="438" t="n"/>
      <c r="BC54" s="438" t="n"/>
      <c r="BD54" s="438" t="n"/>
      <c r="BE54" s="438" t="n"/>
      <c r="BF54" s="438" t="n"/>
      <c r="BG54" s="438" t="n"/>
      <c r="BH54" s="438" t="n"/>
      <c r="BI54" s="438" t="n"/>
      <c r="BJ54" s="438" t="n"/>
      <c r="BK54" s="438" t="n"/>
      <c r="BL54" s="438" t="n"/>
      <c r="BM54" s="438" t="n"/>
      <c r="BN54" s="438" t="n"/>
      <c r="BO54" s="438" t="n"/>
      <c r="BP54" s="438" t="n"/>
      <c r="BQ54" s="438" t="n"/>
      <c r="BR54" s="438" t="n"/>
      <c r="BS54" s="438" t="n"/>
      <c r="BT54" s="438" t="n"/>
      <c r="BU54" s="438" t="n"/>
      <c r="BV54" s="450" t="n"/>
      <c r="BW54" s="441" t="n"/>
      <c r="BX54" s="450" t="n"/>
      <c r="BY54" s="441" t="n"/>
      <c r="BZ54" s="450" t="n"/>
      <c r="CA54" s="450" t="n"/>
      <c r="CB54" s="450" t="n"/>
      <c r="CC54" s="450" t="n"/>
    </row>
    <row r="55" ht="14.25" customHeight="1" s="527">
      <c r="A55" s="520" t="n"/>
      <c r="B55" s="520" t="n"/>
      <c r="C55" s="520" t="n"/>
      <c r="D55" s="521" t="n"/>
      <c r="E55" s="438" t="n"/>
      <c r="F55" s="438" t="n"/>
      <c r="G55" s="521" t="n"/>
      <c r="H55" s="521" t="n"/>
      <c r="I55" s="521" t="n"/>
      <c r="J55" s="521" t="n"/>
      <c r="K55" s="521" t="n"/>
      <c r="L55" s="521" t="n"/>
      <c r="M55" s="521" t="n"/>
      <c r="N55" s="521" t="n"/>
      <c r="O55" s="438" t="n"/>
      <c r="P55" s="438" t="n"/>
      <c r="Q55" s="438" t="n"/>
      <c r="R55" s="438" t="n"/>
      <c r="S55" s="438" t="n"/>
      <c r="T55" s="438" t="n"/>
      <c r="U55" s="438" t="n"/>
      <c r="V55" s="438" t="n"/>
      <c r="W55" s="438" t="n"/>
      <c r="X55" s="438" t="n"/>
      <c r="Y55" s="438" t="n"/>
      <c r="Z55" s="438" t="n"/>
      <c r="AA55" s="438" t="n"/>
      <c r="AB55" s="438" t="n"/>
      <c r="AC55" s="438" t="n"/>
      <c r="AD55" s="438" t="n"/>
      <c r="AE55" s="438" t="n"/>
      <c r="AF55" s="438" t="n"/>
      <c r="AG55" s="438" t="n"/>
      <c r="AH55" s="438" t="n"/>
      <c r="AI55" s="438" t="n"/>
      <c r="AJ55" s="438" t="n"/>
      <c r="AK55" s="438" t="n"/>
      <c r="AL55" s="438" t="n"/>
      <c r="AM55" s="438" t="n"/>
      <c r="AN55" s="438" t="n"/>
      <c r="AO55" s="438" t="n"/>
      <c r="AP55" s="438" t="n"/>
      <c r="AQ55" s="438" t="n"/>
      <c r="AR55" s="438" t="n"/>
      <c r="AS55" s="438" t="n"/>
      <c r="AT55" s="438" t="n"/>
      <c r="AU55" s="438" t="n"/>
      <c r="AV55" s="438" t="n"/>
      <c r="AW55" s="438" t="n"/>
      <c r="AX55" s="438" t="n"/>
      <c r="AY55" s="438" t="n"/>
      <c r="AZ55" s="438" t="n"/>
      <c r="BA55" s="438" t="n"/>
      <c r="BB55" s="438" t="n"/>
      <c r="BC55" s="438" t="n"/>
      <c r="BD55" s="438" t="n"/>
      <c r="BE55" s="438" t="n"/>
      <c r="BF55" s="438" t="n"/>
      <c r="BG55" s="438" t="n"/>
      <c r="BH55" s="438" t="n"/>
      <c r="BI55" s="438" t="n"/>
      <c r="BJ55" s="438" t="n"/>
      <c r="BK55" s="438" t="n"/>
      <c r="BL55" s="438" t="n"/>
      <c r="BM55" s="438" t="n"/>
      <c r="BN55" s="438" t="n"/>
      <c r="BO55" s="438" t="n"/>
      <c r="BP55" s="438" t="n"/>
      <c r="BQ55" s="438" t="n"/>
      <c r="BR55" s="438" t="n"/>
      <c r="BS55" s="438" t="n"/>
      <c r="BT55" s="438" t="n"/>
      <c r="BU55" s="438" t="n"/>
      <c r="BV55" s="450" t="n"/>
      <c r="BW55" s="441" t="n"/>
      <c r="BX55" s="450" t="n"/>
      <c r="BY55" s="441" t="n"/>
      <c r="BZ55" s="450" t="n"/>
      <c r="CA55" s="450" t="n"/>
      <c r="CB55" s="450" t="n"/>
      <c r="CC55" s="450" t="n"/>
    </row>
    <row r="56" ht="14.25" customHeight="1" s="527">
      <c r="A56" s="520" t="n"/>
      <c r="B56" s="520" t="n"/>
      <c r="C56" s="520" t="n"/>
      <c r="D56" s="521" t="n"/>
      <c r="E56" s="438" t="n"/>
      <c r="F56" s="438" t="n"/>
      <c r="G56" s="521" t="n"/>
      <c r="H56" s="521" t="n"/>
      <c r="I56" s="521" t="n"/>
      <c r="J56" s="521" t="n"/>
      <c r="K56" s="521" t="n"/>
      <c r="L56" s="521" t="n"/>
      <c r="M56" s="521" t="n"/>
      <c r="N56" s="521" t="n"/>
      <c r="O56" s="438" t="n"/>
      <c r="P56" s="438" t="n"/>
      <c r="Q56" s="438" t="n"/>
      <c r="R56" s="438" t="n"/>
      <c r="S56" s="438" t="n"/>
      <c r="T56" s="438" t="n"/>
      <c r="U56" s="438" t="n"/>
      <c r="V56" s="438" t="n"/>
      <c r="W56" s="438" t="n"/>
      <c r="X56" s="438" t="n"/>
      <c r="Y56" s="438" t="n"/>
      <c r="Z56" s="438" t="n"/>
      <c r="AA56" s="438" t="n"/>
      <c r="AB56" s="438" t="n"/>
      <c r="AC56" s="438" t="n"/>
      <c r="AD56" s="438" t="n"/>
      <c r="AE56" s="438" t="n"/>
      <c r="AF56" s="438" t="n"/>
      <c r="AG56" s="438" t="n"/>
      <c r="AH56" s="438" t="n"/>
      <c r="AI56" s="438" t="n"/>
      <c r="AJ56" s="438" t="n"/>
      <c r="AK56" s="438" t="n"/>
      <c r="AL56" s="438" t="n"/>
      <c r="AM56" s="438" t="n"/>
      <c r="AN56" s="438" t="n"/>
      <c r="AO56" s="438" t="n"/>
      <c r="AP56" s="438" t="n"/>
      <c r="AQ56" s="438" t="n"/>
      <c r="AR56" s="438" t="n"/>
      <c r="AS56" s="438" t="n"/>
      <c r="AT56" s="438" t="n"/>
      <c r="AU56" s="438" t="n"/>
      <c r="AV56" s="438" t="n"/>
      <c r="AW56" s="438" t="n"/>
      <c r="AX56" s="438" t="n"/>
      <c r="AY56" s="438" t="n"/>
      <c r="AZ56" s="438" t="n"/>
      <c r="BA56" s="438" t="n"/>
      <c r="BB56" s="438" t="n"/>
      <c r="BC56" s="438" t="n"/>
      <c r="BD56" s="438" t="n"/>
      <c r="BE56" s="438" t="n"/>
      <c r="BF56" s="438" t="n"/>
      <c r="BG56" s="438" t="n"/>
      <c r="BH56" s="438" t="n"/>
      <c r="BI56" s="438" t="n"/>
      <c r="BJ56" s="438" t="n"/>
      <c r="BK56" s="438" t="n"/>
      <c r="BL56" s="438" t="n"/>
      <c r="BM56" s="438" t="n"/>
      <c r="BN56" s="438" t="n"/>
      <c r="BO56" s="438" t="n"/>
      <c r="BP56" s="438" t="n"/>
      <c r="BQ56" s="438" t="n"/>
      <c r="BR56" s="438" t="n"/>
      <c r="BS56" s="438" t="n"/>
      <c r="BT56" s="438" t="n"/>
      <c r="BU56" s="438" t="n"/>
      <c r="BV56" s="450" t="n"/>
      <c r="BW56" s="441" t="n"/>
      <c r="BX56" s="450" t="n"/>
      <c r="BY56" s="441" t="n"/>
      <c r="BZ56" s="450" t="n"/>
      <c r="CA56" s="450" t="n"/>
      <c r="CB56" s="450" t="n"/>
      <c r="CC56" s="450" t="n"/>
    </row>
    <row r="57" ht="14.25" customHeight="1" s="527">
      <c r="A57" s="520" t="n"/>
      <c r="B57" s="520" t="n"/>
      <c r="C57" s="520" t="n"/>
      <c r="D57" s="521" t="n"/>
      <c r="E57" s="438" t="n"/>
      <c r="F57" s="438" t="n"/>
      <c r="G57" s="521" t="n"/>
      <c r="H57" s="521" t="n"/>
      <c r="I57" s="521" t="n"/>
      <c r="J57" s="521" t="n"/>
      <c r="K57" s="521" t="n"/>
      <c r="L57" s="521" t="n"/>
      <c r="M57" s="521" t="n"/>
      <c r="N57" s="521" t="n"/>
      <c r="O57" s="438" t="n"/>
      <c r="P57" s="438" t="n"/>
      <c r="Q57" s="438" t="n"/>
      <c r="R57" s="438" t="n"/>
      <c r="S57" s="438" t="n"/>
      <c r="T57" s="438" t="n"/>
      <c r="U57" s="438" t="n"/>
      <c r="V57" s="438" t="n"/>
      <c r="W57" s="438" t="n"/>
      <c r="X57" s="438" t="n"/>
      <c r="Y57" s="438" t="n"/>
      <c r="Z57" s="438" t="n"/>
      <c r="AA57" s="438" t="n"/>
      <c r="AB57" s="438" t="n"/>
      <c r="AC57" s="438" t="n"/>
      <c r="AD57" s="438" t="n"/>
      <c r="AE57" s="438" t="n"/>
      <c r="AF57" s="438" t="n"/>
      <c r="AG57" s="438" t="n"/>
      <c r="AH57" s="438" t="n"/>
      <c r="AI57" s="438" t="n"/>
      <c r="AJ57" s="438" t="n"/>
      <c r="AK57" s="438" t="n"/>
      <c r="AL57" s="438" t="n"/>
      <c r="AM57" s="438" t="n"/>
      <c r="AN57" s="438" t="n"/>
      <c r="AO57" s="438" t="n"/>
      <c r="AP57" s="438" t="n"/>
      <c r="AQ57" s="438" t="n"/>
      <c r="AR57" s="438" t="n"/>
      <c r="AS57" s="438" t="n"/>
      <c r="AT57" s="438" t="n"/>
      <c r="AU57" s="438" t="n"/>
      <c r="AV57" s="438" t="n"/>
      <c r="AW57" s="438" t="n"/>
      <c r="AX57" s="438" t="n"/>
      <c r="AY57" s="438" t="n"/>
      <c r="AZ57" s="438" t="n"/>
      <c r="BA57" s="438" t="n"/>
      <c r="BB57" s="438" t="n"/>
      <c r="BC57" s="438" t="n"/>
      <c r="BD57" s="438" t="n"/>
      <c r="BE57" s="438" t="n"/>
      <c r="BF57" s="438" t="n"/>
      <c r="BG57" s="438" t="n"/>
      <c r="BH57" s="438" t="n"/>
      <c r="BI57" s="438" t="n"/>
      <c r="BJ57" s="438" t="n"/>
      <c r="BK57" s="438" t="n"/>
      <c r="BL57" s="438" t="n"/>
      <c r="BM57" s="438" t="n"/>
      <c r="BN57" s="438" t="n"/>
      <c r="BO57" s="438" t="n"/>
      <c r="BP57" s="438" t="n"/>
      <c r="BQ57" s="438" t="n"/>
      <c r="BR57" s="438" t="n"/>
      <c r="BS57" s="438" t="n"/>
      <c r="BT57" s="438" t="n"/>
      <c r="BU57" s="438" t="n"/>
      <c r="BV57" s="450" t="n"/>
      <c r="BW57" s="441" t="n"/>
      <c r="BX57" s="450" t="n"/>
      <c r="BY57" s="441" t="n"/>
      <c r="BZ57" s="450" t="n"/>
      <c r="CA57" s="450" t="n"/>
      <c r="CB57" s="450" t="n"/>
      <c r="CC57" s="450" t="n"/>
    </row>
    <row r="58" ht="14.25" customHeight="1" s="527">
      <c r="A58" s="520" t="n"/>
      <c r="B58" s="520" t="n"/>
      <c r="C58" s="520" t="n"/>
      <c r="D58" s="521" t="n"/>
      <c r="E58" s="438" t="n"/>
      <c r="F58" s="438" t="n"/>
      <c r="G58" s="521" t="n"/>
      <c r="H58" s="521" t="n"/>
      <c r="I58" s="521" t="n"/>
      <c r="J58" s="521" t="n"/>
      <c r="K58" s="521" t="n"/>
      <c r="L58" s="521" t="n"/>
      <c r="M58" s="521" t="n"/>
      <c r="N58" s="521" t="n"/>
      <c r="O58" s="438" t="n"/>
      <c r="P58" s="438" t="n"/>
      <c r="Q58" s="438" t="n"/>
      <c r="R58" s="438" t="n"/>
      <c r="S58" s="438" t="n"/>
      <c r="T58" s="438" t="n"/>
      <c r="U58" s="438" t="n"/>
      <c r="V58" s="438" t="n"/>
      <c r="W58" s="438" t="n"/>
      <c r="X58" s="438" t="n"/>
      <c r="Y58" s="438" t="n"/>
      <c r="Z58" s="438" t="n"/>
      <c r="AA58" s="438" t="n"/>
      <c r="AB58" s="438" t="n"/>
      <c r="AC58" s="438" t="n"/>
      <c r="AD58" s="438" t="n"/>
      <c r="AE58" s="438" t="n"/>
      <c r="AF58" s="438" t="n"/>
      <c r="AG58" s="438" t="n"/>
      <c r="AH58" s="438" t="n"/>
      <c r="AI58" s="438" t="n"/>
      <c r="AJ58" s="438" t="n"/>
      <c r="AK58" s="438" t="n"/>
      <c r="AL58" s="438" t="n"/>
      <c r="AM58" s="438" t="n"/>
      <c r="AN58" s="438" t="n"/>
      <c r="AO58" s="438" t="n"/>
      <c r="AP58" s="438" t="n"/>
      <c r="AQ58" s="438" t="n"/>
      <c r="AR58" s="438" t="n"/>
      <c r="AS58" s="438" t="n"/>
      <c r="AT58" s="438" t="n"/>
      <c r="AU58" s="438" t="n"/>
      <c r="AV58" s="438" t="n"/>
      <c r="AW58" s="438" t="n"/>
      <c r="AX58" s="438" t="n"/>
      <c r="AY58" s="438" t="n"/>
      <c r="AZ58" s="438" t="n"/>
      <c r="BA58" s="438" t="n"/>
      <c r="BB58" s="438" t="n"/>
      <c r="BC58" s="438" t="n"/>
      <c r="BD58" s="438" t="n"/>
      <c r="BE58" s="438" t="n"/>
      <c r="BF58" s="438" t="n"/>
      <c r="BG58" s="438" t="n"/>
      <c r="BH58" s="438" t="n"/>
      <c r="BI58" s="438" t="n"/>
      <c r="BJ58" s="438" t="n"/>
      <c r="BK58" s="438" t="n"/>
      <c r="BL58" s="438" t="n"/>
      <c r="BM58" s="438" t="n"/>
      <c r="BN58" s="438" t="n"/>
      <c r="BO58" s="438" t="n"/>
      <c r="BP58" s="438" t="n"/>
      <c r="BQ58" s="438" t="n"/>
      <c r="BR58" s="438" t="n"/>
      <c r="BS58" s="438" t="n"/>
      <c r="BT58" s="438" t="n"/>
      <c r="BU58" s="438" t="n"/>
      <c r="BV58" s="450" t="n"/>
      <c r="BW58" s="441" t="n"/>
      <c r="BX58" s="450" t="n"/>
      <c r="BY58" s="441" t="n"/>
      <c r="BZ58" s="450" t="n"/>
      <c r="CA58" s="450" t="n"/>
      <c r="CB58" s="450" t="n"/>
      <c r="CC58" s="450" t="n"/>
    </row>
    <row r="59" ht="14.25" customHeight="1" s="527">
      <c r="A59" s="520" t="n"/>
      <c r="B59" s="520" t="n"/>
      <c r="C59" s="520" t="n"/>
      <c r="D59" s="521" t="n"/>
      <c r="E59" s="438" t="n"/>
      <c r="F59" s="438" t="n"/>
      <c r="G59" s="521" t="n"/>
      <c r="H59" s="521" t="n"/>
      <c r="I59" s="521" t="n"/>
      <c r="J59" s="521" t="n"/>
      <c r="K59" s="521" t="n"/>
      <c r="L59" s="521" t="n"/>
      <c r="M59" s="521" t="n"/>
      <c r="N59" s="521" t="n"/>
      <c r="O59" s="438" t="n"/>
      <c r="P59" s="438" t="n"/>
      <c r="Q59" s="438" t="n"/>
      <c r="R59" s="438" t="n"/>
      <c r="S59" s="438" t="n"/>
      <c r="T59" s="438" t="n"/>
      <c r="U59" s="438" t="n"/>
      <c r="V59" s="438" t="n"/>
      <c r="W59" s="438" t="n"/>
      <c r="X59" s="438" t="n"/>
      <c r="Y59" s="438" t="n"/>
      <c r="Z59" s="438" t="n"/>
      <c r="AA59" s="438" t="n"/>
      <c r="AB59" s="438" t="n"/>
      <c r="AC59" s="438" t="n"/>
      <c r="AD59" s="438" t="n"/>
      <c r="AE59" s="438" t="n"/>
      <c r="AF59" s="438" t="n"/>
      <c r="AG59" s="438" t="n"/>
      <c r="AH59" s="438" t="n"/>
      <c r="AI59" s="438" t="n"/>
      <c r="AJ59" s="438" t="n"/>
      <c r="AK59" s="438" t="n"/>
      <c r="AL59" s="438" t="n"/>
      <c r="AM59" s="438" t="n"/>
      <c r="AN59" s="438" t="n"/>
      <c r="AO59" s="438" t="n"/>
      <c r="AP59" s="438" t="n"/>
      <c r="AQ59" s="438" t="n"/>
      <c r="AR59" s="438" t="n"/>
      <c r="AS59" s="438" t="n"/>
      <c r="AT59" s="438" t="n"/>
      <c r="AU59" s="438" t="n"/>
      <c r="AV59" s="438" t="n"/>
      <c r="AW59" s="438" t="n"/>
      <c r="AX59" s="438" t="n"/>
      <c r="AY59" s="438" t="n"/>
      <c r="AZ59" s="438" t="n"/>
      <c r="BA59" s="438" t="n"/>
      <c r="BB59" s="438" t="n"/>
      <c r="BC59" s="438" t="n"/>
      <c r="BD59" s="438" t="n"/>
      <c r="BE59" s="438" t="n"/>
      <c r="BF59" s="438" t="n"/>
      <c r="BG59" s="438" t="n"/>
      <c r="BH59" s="438" t="n"/>
      <c r="BI59" s="438" t="n"/>
      <c r="BJ59" s="438" t="n"/>
      <c r="BK59" s="438" t="n"/>
      <c r="BL59" s="438" t="n"/>
      <c r="BM59" s="438" t="n"/>
      <c r="BN59" s="438" t="n"/>
      <c r="BO59" s="438" t="n"/>
      <c r="BP59" s="438" t="n"/>
      <c r="BQ59" s="438" t="n"/>
      <c r="BR59" s="438" t="n"/>
      <c r="BS59" s="438" t="n"/>
      <c r="BT59" s="438" t="n"/>
      <c r="BU59" s="438" t="n"/>
      <c r="BV59" s="450" t="n"/>
      <c r="BW59" s="441" t="n"/>
      <c r="BX59" s="450" t="n"/>
      <c r="BY59" s="441" t="n"/>
      <c r="BZ59" s="450" t="n"/>
      <c r="CA59" s="450" t="n"/>
      <c r="CB59" s="450" t="n"/>
      <c r="CC59" s="450" t="n"/>
    </row>
    <row r="60" ht="14.25" customHeight="1" s="527">
      <c r="A60" s="520" t="n"/>
      <c r="B60" s="520" t="n"/>
      <c r="C60" s="520" t="n"/>
      <c r="D60" s="521" t="n"/>
      <c r="E60" s="438" t="n"/>
      <c r="F60" s="438" t="n"/>
      <c r="G60" s="521" t="n"/>
      <c r="H60" s="521" t="n"/>
      <c r="I60" s="521" t="n"/>
      <c r="J60" s="521" t="n"/>
      <c r="K60" s="521" t="n"/>
      <c r="L60" s="521" t="n"/>
      <c r="M60" s="521" t="n"/>
      <c r="N60" s="521" t="n"/>
      <c r="O60" s="438" t="n"/>
      <c r="P60" s="438" t="n"/>
      <c r="Q60" s="438" t="n"/>
      <c r="R60" s="438" t="n"/>
      <c r="S60" s="438" t="n"/>
      <c r="T60" s="438" t="n"/>
      <c r="U60" s="438" t="n"/>
      <c r="V60" s="438" t="n"/>
      <c r="W60" s="438" t="n"/>
      <c r="X60" s="438" t="n"/>
      <c r="Y60" s="438" t="n"/>
      <c r="Z60" s="438" t="n"/>
      <c r="AA60" s="438" t="n"/>
      <c r="AB60" s="438" t="n"/>
      <c r="AC60" s="438" t="n"/>
      <c r="AD60" s="438" t="n"/>
      <c r="AE60" s="438" t="n"/>
      <c r="AF60" s="438" t="n"/>
      <c r="AG60" s="438" t="n"/>
      <c r="AH60" s="438" t="n"/>
      <c r="AI60" s="438" t="n"/>
      <c r="AJ60" s="438" t="n"/>
      <c r="AK60" s="438" t="n"/>
      <c r="AL60" s="438" t="n"/>
      <c r="AM60" s="438" t="n"/>
      <c r="AN60" s="438" t="n"/>
      <c r="AO60" s="438" t="n"/>
      <c r="AP60" s="438" t="n"/>
      <c r="AQ60" s="438" t="n"/>
      <c r="AR60" s="438" t="n"/>
      <c r="AS60" s="438" t="n"/>
      <c r="AT60" s="438" t="n"/>
      <c r="AU60" s="438" t="n"/>
      <c r="AV60" s="438" t="n"/>
      <c r="AW60" s="438" t="n"/>
      <c r="AX60" s="438" t="n"/>
      <c r="AY60" s="438" t="n"/>
      <c r="AZ60" s="438" t="n"/>
      <c r="BA60" s="438" t="n"/>
      <c r="BB60" s="438" t="n"/>
      <c r="BC60" s="438" t="n"/>
      <c r="BD60" s="438" t="n"/>
      <c r="BE60" s="438" t="n"/>
      <c r="BF60" s="438" t="n"/>
      <c r="BG60" s="438" t="n"/>
      <c r="BH60" s="438" t="n"/>
      <c r="BI60" s="438" t="n"/>
      <c r="BJ60" s="438" t="n"/>
      <c r="BK60" s="438" t="n"/>
      <c r="BL60" s="438" t="n"/>
      <c r="BM60" s="438" t="n"/>
      <c r="BN60" s="438" t="n"/>
      <c r="BO60" s="438" t="n"/>
      <c r="BP60" s="438" t="n"/>
      <c r="BQ60" s="438" t="n"/>
      <c r="BR60" s="438" t="n"/>
      <c r="BS60" s="438" t="n"/>
      <c r="BT60" s="438" t="n"/>
      <c r="BU60" s="438" t="n"/>
      <c r="BV60" s="450" t="n"/>
      <c r="BW60" s="441" t="n"/>
      <c r="BX60" s="450" t="n"/>
      <c r="BY60" s="441" t="n"/>
      <c r="BZ60" s="450" t="n"/>
      <c r="CA60" s="450" t="n"/>
      <c r="CB60" s="450" t="n"/>
      <c r="CC60" s="450" t="n"/>
    </row>
    <row r="61" ht="14.25" customHeight="1" s="527">
      <c r="A61" s="520" t="n"/>
      <c r="B61" s="520" t="n"/>
      <c r="C61" s="520" t="n"/>
      <c r="D61" s="521" t="n"/>
      <c r="E61" s="438" t="n"/>
      <c r="F61" s="438" t="n"/>
      <c r="G61" s="521" t="n"/>
      <c r="H61" s="521" t="n"/>
      <c r="I61" s="521" t="n"/>
      <c r="J61" s="521" t="n"/>
      <c r="K61" s="521" t="n"/>
      <c r="L61" s="521" t="n"/>
      <c r="M61" s="521" t="n"/>
      <c r="N61" s="521" t="n"/>
      <c r="O61" s="438" t="n"/>
      <c r="P61" s="438" t="n"/>
      <c r="Q61" s="438" t="n"/>
      <c r="R61" s="438" t="n"/>
      <c r="S61" s="438" t="n"/>
      <c r="T61" s="438" t="n"/>
      <c r="U61" s="438" t="n"/>
      <c r="V61" s="438" t="n"/>
      <c r="W61" s="438" t="n"/>
      <c r="X61" s="438" t="n"/>
      <c r="Y61" s="438" t="n"/>
      <c r="Z61" s="438" t="n"/>
      <c r="AA61" s="438" t="n"/>
      <c r="AB61" s="438" t="n"/>
      <c r="AC61" s="438" t="n"/>
      <c r="AD61" s="438" t="n"/>
      <c r="AE61" s="438" t="n"/>
      <c r="AF61" s="438" t="n"/>
      <c r="AG61" s="438" t="n"/>
      <c r="AH61" s="438" t="n"/>
      <c r="AI61" s="438" t="n"/>
      <c r="AJ61" s="438" t="n"/>
      <c r="AK61" s="438" t="n"/>
      <c r="AL61" s="438" t="n"/>
      <c r="AM61" s="438" t="n"/>
      <c r="AN61" s="438" t="n"/>
      <c r="AO61" s="438" t="n"/>
      <c r="AP61" s="438" t="n"/>
      <c r="AQ61" s="438" t="n"/>
      <c r="AR61" s="438" t="n"/>
      <c r="AS61" s="438" t="n"/>
      <c r="AT61" s="438" t="n"/>
      <c r="AU61" s="438" t="n"/>
      <c r="AV61" s="438" t="n"/>
      <c r="AW61" s="438" t="n"/>
      <c r="AX61" s="438" t="n"/>
      <c r="AY61" s="438" t="n"/>
      <c r="AZ61" s="438" t="n"/>
      <c r="BA61" s="438" t="n"/>
      <c r="BB61" s="438" t="n"/>
      <c r="BC61" s="438" t="n"/>
      <c r="BD61" s="438" t="n"/>
      <c r="BE61" s="438" t="n"/>
      <c r="BF61" s="438" t="n"/>
      <c r="BG61" s="438" t="n"/>
      <c r="BH61" s="438" t="n"/>
      <c r="BI61" s="438" t="n"/>
      <c r="BJ61" s="438" t="n"/>
      <c r="BK61" s="438" t="n"/>
      <c r="BL61" s="438" t="n"/>
      <c r="BM61" s="438" t="n"/>
      <c r="BN61" s="438" t="n"/>
      <c r="BO61" s="438" t="n"/>
      <c r="BP61" s="438" t="n"/>
      <c r="BQ61" s="438" t="n"/>
      <c r="BR61" s="438" t="n"/>
      <c r="BS61" s="438" t="n"/>
      <c r="BT61" s="438" t="n"/>
      <c r="BU61" s="438" t="n"/>
      <c r="BV61" s="450" t="n"/>
      <c r="BW61" s="441" t="n"/>
      <c r="BX61" s="450" t="n"/>
      <c r="BY61" s="441" t="n"/>
      <c r="BZ61" s="450" t="n"/>
      <c r="CA61" s="450" t="n"/>
      <c r="CB61" s="450" t="n"/>
      <c r="CC61" s="450" t="n"/>
    </row>
    <row r="62" ht="14.25" customHeight="1" s="527">
      <c r="A62" s="520" t="n"/>
      <c r="B62" s="520" t="n"/>
      <c r="C62" s="520" t="n"/>
      <c r="D62" s="521" t="n"/>
      <c r="E62" s="438" t="n"/>
      <c r="F62" s="438" t="n"/>
      <c r="G62" s="521" t="n"/>
      <c r="H62" s="521" t="n"/>
      <c r="I62" s="521" t="n"/>
      <c r="J62" s="521" t="n"/>
      <c r="K62" s="521" t="n"/>
      <c r="L62" s="521" t="n"/>
      <c r="M62" s="521" t="n"/>
      <c r="N62" s="521" t="n"/>
      <c r="O62" s="438" t="n"/>
      <c r="P62" s="438" t="n"/>
      <c r="Q62" s="438" t="n"/>
      <c r="R62" s="438" t="n"/>
      <c r="S62" s="438" t="n"/>
      <c r="T62" s="438" t="n"/>
      <c r="U62" s="438" t="n"/>
      <c r="V62" s="438" t="n"/>
      <c r="W62" s="438" t="n"/>
      <c r="X62" s="438" t="n"/>
      <c r="Y62" s="438" t="n"/>
      <c r="Z62" s="438" t="n"/>
      <c r="AA62" s="438" t="n"/>
      <c r="AB62" s="438" t="n"/>
      <c r="AC62" s="438" t="n"/>
      <c r="AD62" s="438" t="n"/>
      <c r="AE62" s="438" t="n"/>
      <c r="AF62" s="438" t="n"/>
      <c r="AG62" s="438" t="n"/>
      <c r="AH62" s="438" t="n"/>
      <c r="AI62" s="438" t="n"/>
      <c r="AJ62" s="438" t="n"/>
      <c r="AK62" s="438" t="n"/>
      <c r="AL62" s="438" t="n"/>
      <c r="AM62" s="438" t="n"/>
      <c r="AN62" s="438" t="n"/>
      <c r="AO62" s="438" t="n"/>
      <c r="AP62" s="438" t="n"/>
      <c r="AQ62" s="438" t="n"/>
      <c r="AR62" s="438" t="n"/>
      <c r="AS62" s="438" t="n"/>
      <c r="AT62" s="438" t="n"/>
      <c r="AU62" s="438" t="n"/>
      <c r="AV62" s="438" t="n"/>
      <c r="AW62" s="438" t="n"/>
      <c r="AX62" s="438" t="n"/>
      <c r="AY62" s="438" t="n"/>
      <c r="AZ62" s="438" t="n"/>
      <c r="BA62" s="438" t="n"/>
      <c r="BB62" s="438" t="n"/>
      <c r="BC62" s="438" t="n"/>
      <c r="BD62" s="438" t="n"/>
      <c r="BE62" s="438" t="n"/>
      <c r="BF62" s="438" t="n"/>
      <c r="BG62" s="438" t="n"/>
      <c r="BH62" s="438" t="n"/>
      <c r="BI62" s="438" t="n"/>
      <c r="BJ62" s="438" t="n"/>
      <c r="BK62" s="438" t="n"/>
      <c r="BL62" s="438" t="n"/>
      <c r="BM62" s="438" t="n"/>
      <c r="BN62" s="438" t="n"/>
      <c r="BO62" s="438" t="n"/>
      <c r="BP62" s="438" t="n"/>
      <c r="BQ62" s="438" t="n"/>
      <c r="BR62" s="438" t="n"/>
      <c r="BS62" s="438" t="n"/>
      <c r="BT62" s="438" t="n"/>
      <c r="BU62" s="438" t="n"/>
      <c r="BV62" s="450" t="n"/>
      <c r="BW62" s="441" t="n"/>
      <c r="BX62" s="450" t="n"/>
      <c r="BY62" s="441" t="n"/>
      <c r="BZ62" s="450" t="n"/>
      <c r="CA62" s="450" t="n"/>
      <c r="CB62" s="450" t="n"/>
      <c r="CC62" s="450" t="n"/>
    </row>
    <row r="63" ht="14.25" customHeight="1" s="527">
      <c r="A63" s="520" t="n"/>
      <c r="B63" s="520" t="n"/>
      <c r="C63" s="520" t="n"/>
      <c r="D63" s="521" t="n"/>
      <c r="E63" s="438" t="n"/>
      <c r="F63" s="438" t="n"/>
      <c r="G63" s="521" t="n"/>
      <c r="H63" s="521" t="n"/>
      <c r="I63" s="521" t="n"/>
      <c r="J63" s="521" t="n"/>
      <c r="K63" s="521" t="n"/>
      <c r="L63" s="521" t="n"/>
      <c r="M63" s="521" t="n"/>
      <c r="N63" s="521" t="n"/>
      <c r="O63" s="438" t="n"/>
      <c r="P63" s="438" t="n"/>
      <c r="Q63" s="438" t="n"/>
      <c r="R63" s="438" t="n"/>
      <c r="S63" s="438" t="n"/>
      <c r="T63" s="438" t="n"/>
      <c r="U63" s="438" t="n"/>
      <c r="V63" s="438" t="n"/>
      <c r="W63" s="438" t="n"/>
      <c r="X63" s="438" t="n"/>
      <c r="Y63" s="438" t="n"/>
      <c r="Z63" s="438" t="n"/>
      <c r="AA63" s="438" t="n"/>
      <c r="AB63" s="438" t="n"/>
      <c r="AC63" s="438" t="n"/>
      <c r="AD63" s="438" t="n"/>
      <c r="AE63" s="438" t="n"/>
      <c r="AF63" s="438" t="n"/>
      <c r="AG63" s="438" t="n"/>
      <c r="AH63" s="438" t="n"/>
      <c r="AI63" s="438" t="n"/>
      <c r="AJ63" s="438" t="n"/>
      <c r="AK63" s="438" t="n"/>
      <c r="AL63" s="438" t="n"/>
      <c r="AM63" s="438" t="n"/>
      <c r="AN63" s="438" t="n"/>
      <c r="AO63" s="438" t="n"/>
      <c r="AP63" s="438" t="n"/>
      <c r="AQ63" s="438" t="n"/>
      <c r="AR63" s="438" t="n"/>
      <c r="AS63" s="438" t="n"/>
      <c r="AT63" s="438" t="n"/>
      <c r="AU63" s="438" t="n"/>
      <c r="AV63" s="438" t="n"/>
      <c r="AW63" s="438" t="n"/>
      <c r="AX63" s="438" t="n"/>
      <c r="AY63" s="438" t="n"/>
      <c r="AZ63" s="438" t="n"/>
      <c r="BA63" s="438" t="n"/>
      <c r="BB63" s="438" t="n"/>
      <c r="BC63" s="438" t="n"/>
      <c r="BD63" s="438" t="n"/>
      <c r="BE63" s="438" t="n"/>
      <c r="BF63" s="438" t="n"/>
      <c r="BG63" s="438" t="n"/>
      <c r="BH63" s="438" t="n"/>
      <c r="BI63" s="438" t="n"/>
      <c r="BJ63" s="438" t="n"/>
      <c r="BK63" s="438" t="n"/>
      <c r="BL63" s="438" t="n"/>
      <c r="BM63" s="438" t="n"/>
      <c r="BN63" s="438" t="n"/>
      <c r="BO63" s="438" t="n"/>
      <c r="BP63" s="438" t="n"/>
      <c r="BQ63" s="438" t="n"/>
      <c r="BR63" s="438" t="n"/>
      <c r="BS63" s="438" t="n"/>
      <c r="BT63" s="438" t="n"/>
      <c r="BU63" s="438" t="n"/>
      <c r="BV63" s="450" t="n"/>
      <c r="BW63" s="441" t="n"/>
      <c r="BX63" s="450" t="n"/>
      <c r="BY63" s="441" t="n"/>
      <c r="BZ63" s="450" t="n"/>
      <c r="CA63" s="450" t="n"/>
      <c r="CB63" s="450" t="n"/>
      <c r="CC63" s="450" t="n"/>
    </row>
    <row r="64" ht="14.25" customHeight="1" s="527">
      <c r="A64" s="520" t="n"/>
      <c r="B64" s="520" t="n"/>
      <c r="C64" s="520" t="n"/>
      <c r="D64" s="521" t="n"/>
      <c r="E64" s="438" t="n"/>
      <c r="F64" s="438" t="n"/>
      <c r="G64" s="521" t="n"/>
      <c r="H64" s="521" t="n"/>
      <c r="I64" s="521" t="n"/>
      <c r="J64" s="521" t="n"/>
      <c r="K64" s="521" t="n"/>
      <c r="L64" s="521" t="n"/>
      <c r="M64" s="521" t="n"/>
      <c r="N64" s="521" t="n"/>
      <c r="O64" s="438" t="n"/>
      <c r="P64" s="438" t="n"/>
      <c r="Q64" s="438" t="n"/>
      <c r="R64" s="438" t="n"/>
      <c r="S64" s="438" t="n"/>
      <c r="T64" s="438" t="n"/>
      <c r="U64" s="438" t="n"/>
      <c r="V64" s="438" t="n"/>
      <c r="W64" s="438" t="n"/>
      <c r="X64" s="438" t="n"/>
      <c r="Y64" s="438" t="n"/>
      <c r="Z64" s="438" t="n"/>
      <c r="AA64" s="438" t="n"/>
      <c r="AB64" s="438" t="n"/>
      <c r="AC64" s="438" t="n"/>
      <c r="AD64" s="438" t="n"/>
      <c r="AE64" s="438" t="n"/>
      <c r="AF64" s="438" t="n"/>
      <c r="AG64" s="438" t="n"/>
      <c r="AH64" s="438" t="n"/>
      <c r="AI64" s="438" t="n"/>
      <c r="AJ64" s="438" t="n"/>
      <c r="AK64" s="438" t="n"/>
      <c r="AL64" s="438" t="n"/>
      <c r="AM64" s="438" t="n"/>
      <c r="AN64" s="438" t="n"/>
      <c r="AO64" s="438" t="n"/>
      <c r="AP64" s="438" t="n"/>
      <c r="AQ64" s="438" t="n"/>
      <c r="AR64" s="438" t="n"/>
      <c r="AS64" s="438" t="n"/>
      <c r="AT64" s="438" t="n"/>
      <c r="AU64" s="438" t="n"/>
      <c r="AV64" s="438" t="n"/>
      <c r="AW64" s="438" t="n"/>
      <c r="AX64" s="438" t="n"/>
      <c r="AY64" s="438" t="n"/>
      <c r="AZ64" s="438" t="n"/>
      <c r="BA64" s="438" t="n"/>
      <c r="BB64" s="438" t="n"/>
      <c r="BC64" s="438" t="n"/>
      <c r="BD64" s="438" t="n"/>
      <c r="BE64" s="438" t="n"/>
      <c r="BF64" s="438" t="n"/>
      <c r="BG64" s="438" t="n"/>
      <c r="BH64" s="438" t="n"/>
      <c r="BI64" s="438" t="n"/>
      <c r="BJ64" s="438" t="n"/>
      <c r="BK64" s="438" t="n"/>
      <c r="BL64" s="438" t="n"/>
      <c r="BM64" s="438" t="n"/>
      <c r="BN64" s="438" t="n"/>
      <c r="BO64" s="438" t="n"/>
      <c r="BP64" s="438" t="n"/>
      <c r="BQ64" s="438" t="n"/>
      <c r="BR64" s="438" t="n"/>
      <c r="BS64" s="438" t="n"/>
      <c r="BT64" s="438" t="n"/>
      <c r="BU64" s="438" t="n"/>
      <c r="BV64" s="450" t="n"/>
      <c r="BW64" s="441" t="n"/>
      <c r="BX64" s="450" t="n"/>
      <c r="BY64" s="441" t="n"/>
      <c r="BZ64" s="450" t="n"/>
      <c r="CA64" s="450" t="n"/>
      <c r="CB64" s="450" t="n"/>
      <c r="CC64" s="450" t="n"/>
    </row>
    <row r="65" ht="14.25" customHeight="1" s="527">
      <c r="A65" s="520" t="n"/>
      <c r="B65" s="520" t="n"/>
      <c r="C65" s="520" t="n"/>
      <c r="D65" s="521" t="n"/>
      <c r="E65" s="438" t="n"/>
      <c r="F65" s="438" t="n"/>
      <c r="G65" s="521" t="n"/>
      <c r="H65" s="521" t="n"/>
      <c r="I65" s="521" t="n"/>
      <c r="J65" s="521" t="n"/>
      <c r="K65" s="521" t="n"/>
      <c r="L65" s="521" t="n"/>
      <c r="M65" s="521" t="n"/>
      <c r="N65" s="521" t="n"/>
      <c r="O65" s="438" t="n"/>
      <c r="P65" s="438" t="n"/>
      <c r="Q65" s="438" t="n"/>
      <c r="R65" s="438" t="n"/>
      <c r="S65" s="438" t="n"/>
      <c r="T65" s="438" t="n"/>
      <c r="U65" s="438" t="n"/>
      <c r="V65" s="438" t="n"/>
      <c r="W65" s="438" t="n"/>
      <c r="X65" s="438" t="n"/>
      <c r="Y65" s="438" t="n"/>
      <c r="Z65" s="438" t="n"/>
      <c r="AA65" s="438" t="n"/>
      <c r="AB65" s="438" t="n"/>
      <c r="AC65" s="438" t="n"/>
      <c r="AD65" s="438" t="n"/>
      <c r="AE65" s="438" t="n"/>
      <c r="AF65" s="438" t="n"/>
      <c r="AG65" s="438" t="n"/>
      <c r="AH65" s="438" t="n"/>
      <c r="AI65" s="438" t="n"/>
      <c r="AJ65" s="438" t="n"/>
      <c r="AK65" s="438" t="n"/>
      <c r="AL65" s="438" t="n"/>
      <c r="AM65" s="438" t="n"/>
      <c r="AN65" s="438" t="n"/>
      <c r="AO65" s="438" t="n"/>
      <c r="AP65" s="438" t="n"/>
      <c r="AQ65" s="438" t="n"/>
      <c r="AR65" s="438" t="n"/>
      <c r="AS65" s="438" t="n"/>
      <c r="AT65" s="438" t="n"/>
      <c r="AU65" s="438" t="n"/>
      <c r="AV65" s="438" t="n"/>
      <c r="AW65" s="438" t="n"/>
      <c r="AX65" s="438" t="n"/>
      <c r="AY65" s="438" t="n"/>
      <c r="AZ65" s="438" t="n"/>
      <c r="BA65" s="438" t="n"/>
      <c r="BB65" s="438" t="n"/>
      <c r="BC65" s="438" t="n"/>
      <c r="BD65" s="438" t="n"/>
      <c r="BE65" s="438" t="n"/>
      <c r="BF65" s="438" t="n"/>
      <c r="BG65" s="438" t="n"/>
      <c r="BH65" s="438" t="n"/>
      <c r="BI65" s="438" t="n"/>
      <c r="BJ65" s="438" t="n"/>
      <c r="BK65" s="438" t="n"/>
      <c r="BL65" s="438" t="n"/>
      <c r="BM65" s="438" t="n"/>
      <c r="BN65" s="438" t="n"/>
      <c r="BO65" s="438" t="n"/>
      <c r="BP65" s="438" t="n"/>
      <c r="BQ65" s="438" t="n"/>
      <c r="BR65" s="438" t="n"/>
      <c r="BS65" s="438" t="n"/>
      <c r="BT65" s="438" t="n"/>
      <c r="BU65" s="438" t="n"/>
      <c r="BV65" s="450" t="n"/>
      <c r="BW65" s="441" t="n"/>
      <c r="BX65" s="450" t="n"/>
      <c r="BY65" s="441" t="n"/>
      <c r="BZ65" s="450" t="n"/>
      <c r="CA65" s="450" t="n"/>
      <c r="CB65" s="450" t="n"/>
      <c r="CC65" s="450" t="n"/>
    </row>
    <row r="66" ht="14.25" customHeight="1" s="527">
      <c r="A66" s="520" t="n"/>
      <c r="B66" s="520" t="n"/>
      <c r="C66" s="520" t="n"/>
      <c r="D66" s="521" t="n"/>
      <c r="E66" s="438" t="n"/>
      <c r="F66" s="438" t="n"/>
      <c r="G66" s="521" t="n"/>
      <c r="H66" s="521" t="n"/>
      <c r="I66" s="521" t="n"/>
      <c r="J66" s="521" t="n"/>
      <c r="K66" s="521" t="n"/>
      <c r="L66" s="521" t="n"/>
      <c r="M66" s="521" t="n"/>
      <c r="N66" s="521" t="n"/>
      <c r="O66" s="438" t="n"/>
      <c r="P66" s="438" t="n"/>
      <c r="Q66" s="438" t="n"/>
      <c r="R66" s="438" t="n"/>
      <c r="S66" s="438" t="n"/>
      <c r="T66" s="438" t="n"/>
      <c r="U66" s="438" t="n"/>
      <c r="V66" s="438" t="n"/>
      <c r="W66" s="438" t="n"/>
      <c r="X66" s="438" t="n"/>
      <c r="Y66" s="438" t="n"/>
      <c r="Z66" s="438" t="n"/>
      <c r="AA66" s="438" t="n"/>
      <c r="AB66" s="438" t="n"/>
      <c r="AC66" s="438" t="n"/>
      <c r="AD66" s="438" t="n"/>
      <c r="AE66" s="438" t="n"/>
      <c r="AF66" s="438" t="n"/>
      <c r="AG66" s="438" t="n"/>
      <c r="AH66" s="438" t="n"/>
      <c r="AI66" s="438" t="n"/>
      <c r="AJ66" s="438" t="n"/>
      <c r="AK66" s="438" t="n"/>
      <c r="AL66" s="438" t="n"/>
      <c r="AM66" s="438" t="n"/>
      <c r="AN66" s="438" t="n"/>
      <c r="AO66" s="438" t="n"/>
      <c r="AP66" s="438" t="n"/>
      <c r="AQ66" s="438" t="n"/>
      <c r="AR66" s="438" t="n"/>
      <c r="AS66" s="438" t="n"/>
      <c r="AT66" s="438" t="n"/>
      <c r="AU66" s="438" t="n"/>
      <c r="AV66" s="438" t="n"/>
      <c r="AW66" s="438" t="n"/>
      <c r="AX66" s="438" t="n"/>
      <c r="AY66" s="438" t="n"/>
      <c r="AZ66" s="438" t="n"/>
      <c r="BA66" s="438" t="n"/>
      <c r="BB66" s="438" t="n"/>
      <c r="BC66" s="438" t="n"/>
      <c r="BD66" s="438" t="n"/>
      <c r="BE66" s="438" t="n"/>
      <c r="BF66" s="438" t="n"/>
      <c r="BG66" s="438" t="n"/>
      <c r="BH66" s="438" t="n"/>
      <c r="BI66" s="438" t="n"/>
      <c r="BJ66" s="438" t="n"/>
      <c r="BK66" s="438" t="n"/>
      <c r="BL66" s="438" t="n"/>
      <c r="BM66" s="438" t="n"/>
      <c r="BN66" s="438" t="n"/>
      <c r="BO66" s="438" t="n"/>
      <c r="BP66" s="438" t="n"/>
      <c r="BQ66" s="438" t="n"/>
      <c r="BR66" s="438" t="n"/>
      <c r="BS66" s="438" t="n"/>
      <c r="BT66" s="438" t="n"/>
      <c r="BU66" s="438" t="n"/>
      <c r="BV66" s="450" t="n"/>
      <c r="BW66" s="441" t="n"/>
      <c r="BX66" s="450" t="n"/>
      <c r="BY66" s="441" t="n"/>
      <c r="BZ66" s="450" t="n"/>
      <c r="CA66" s="450" t="n"/>
      <c r="CB66" s="450" t="n"/>
      <c r="CC66" s="450" t="n"/>
    </row>
    <row r="67" ht="14.25" customHeight="1" s="527">
      <c r="A67" s="520" t="n"/>
      <c r="B67" s="520" t="n"/>
      <c r="C67" s="520" t="n"/>
      <c r="D67" s="521" t="n"/>
      <c r="E67" s="438" t="n"/>
      <c r="F67" s="438" t="n"/>
      <c r="G67" s="521" t="n"/>
      <c r="H67" s="521" t="n"/>
      <c r="I67" s="521" t="n"/>
      <c r="J67" s="521" t="n"/>
      <c r="K67" s="521" t="n"/>
      <c r="L67" s="521" t="n"/>
      <c r="M67" s="521" t="n"/>
      <c r="N67" s="521" t="n"/>
      <c r="O67" s="438" t="n"/>
      <c r="P67" s="438" t="n"/>
      <c r="Q67" s="438" t="n"/>
      <c r="R67" s="438" t="n"/>
      <c r="S67" s="438" t="n"/>
      <c r="T67" s="438" t="n"/>
      <c r="U67" s="438" t="n"/>
      <c r="V67" s="438" t="n"/>
      <c r="W67" s="438" t="n"/>
      <c r="X67" s="438" t="n"/>
      <c r="Y67" s="438" t="n"/>
      <c r="Z67" s="438" t="n"/>
      <c r="AA67" s="438" t="n"/>
      <c r="AB67" s="438" t="n"/>
      <c r="AC67" s="438" t="n"/>
      <c r="AD67" s="438" t="n"/>
      <c r="AE67" s="438" t="n"/>
      <c r="AF67" s="438" t="n"/>
      <c r="AG67" s="438" t="n"/>
      <c r="AH67" s="438" t="n"/>
      <c r="AI67" s="438" t="n"/>
      <c r="AJ67" s="438" t="n"/>
      <c r="AK67" s="438" t="n"/>
      <c r="AL67" s="438" t="n"/>
      <c r="AM67" s="438" t="n"/>
      <c r="AN67" s="438" t="n"/>
      <c r="AO67" s="438" t="n"/>
      <c r="AP67" s="438" t="n"/>
      <c r="AQ67" s="438" t="n"/>
      <c r="AR67" s="438" t="n"/>
      <c r="AS67" s="438" t="n"/>
      <c r="AT67" s="438" t="n"/>
      <c r="AU67" s="438" t="n"/>
      <c r="AV67" s="438" t="n"/>
      <c r="AW67" s="438" t="n"/>
      <c r="AX67" s="438" t="n"/>
      <c r="AY67" s="438" t="n"/>
      <c r="AZ67" s="438" t="n"/>
      <c r="BA67" s="438" t="n"/>
      <c r="BB67" s="438" t="n"/>
      <c r="BC67" s="438" t="n"/>
      <c r="BD67" s="438" t="n"/>
      <c r="BE67" s="438" t="n"/>
      <c r="BF67" s="438" t="n"/>
      <c r="BG67" s="438" t="n"/>
      <c r="BH67" s="438" t="n"/>
      <c r="BI67" s="438" t="n"/>
      <c r="BJ67" s="438" t="n"/>
      <c r="BK67" s="438" t="n"/>
      <c r="BL67" s="438" t="n"/>
      <c r="BM67" s="438" t="n"/>
      <c r="BN67" s="438" t="n"/>
      <c r="BO67" s="438" t="n"/>
      <c r="BP67" s="438" t="n"/>
      <c r="BQ67" s="438" t="n"/>
      <c r="BR67" s="438" t="n"/>
      <c r="BS67" s="438" t="n"/>
      <c r="BT67" s="438" t="n"/>
      <c r="BU67" s="438" t="n"/>
      <c r="BV67" s="450" t="n"/>
      <c r="BW67" s="441" t="n"/>
      <c r="BX67" s="450" t="n"/>
      <c r="BY67" s="441" t="n"/>
      <c r="BZ67" s="450" t="n"/>
      <c r="CA67" s="450" t="n"/>
      <c r="CB67" s="450" t="n"/>
      <c r="CC67" s="450" t="n"/>
    </row>
    <row r="68" ht="14.25" customHeight="1" s="527">
      <c r="A68" s="520" t="n"/>
      <c r="B68" s="520" t="n"/>
      <c r="C68" s="520" t="n"/>
      <c r="D68" s="521" t="n"/>
      <c r="E68" s="438" t="n"/>
      <c r="F68" s="438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438" t="n"/>
      <c r="P68" s="438" t="n"/>
      <c r="Q68" s="438" t="n"/>
      <c r="R68" s="438" t="n"/>
      <c r="S68" s="438" t="n"/>
      <c r="T68" s="438" t="n"/>
      <c r="U68" s="438" t="n"/>
      <c r="V68" s="438" t="n"/>
      <c r="W68" s="438" t="n"/>
      <c r="X68" s="438" t="n"/>
      <c r="Y68" s="438" t="n"/>
      <c r="Z68" s="438" t="n"/>
      <c r="AA68" s="438" t="n"/>
      <c r="AB68" s="438" t="n"/>
      <c r="AC68" s="438" t="n"/>
      <c r="AD68" s="438" t="n"/>
      <c r="AE68" s="438" t="n"/>
      <c r="AF68" s="438" t="n"/>
      <c r="AG68" s="438" t="n"/>
      <c r="AH68" s="438" t="n"/>
      <c r="AI68" s="438" t="n"/>
      <c r="AJ68" s="438" t="n"/>
      <c r="AK68" s="438" t="n"/>
      <c r="AL68" s="438" t="n"/>
      <c r="AM68" s="438" t="n"/>
      <c r="AN68" s="438" t="n"/>
      <c r="AO68" s="438" t="n"/>
      <c r="AP68" s="438" t="n"/>
      <c r="AQ68" s="438" t="n"/>
      <c r="AR68" s="438" t="n"/>
      <c r="AS68" s="438" t="n"/>
      <c r="AT68" s="438" t="n"/>
      <c r="AU68" s="438" t="n"/>
      <c r="AV68" s="438" t="n"/>
      <c r="AW68" s="438" t="n"/>
      <c r="AX68" s="438" t="n"/>
      <c r="AY68" s="438" t="n"/>
      <c r="AZ68" s="438" t="n"/>
      <c r="BA68" s="438" t="n"/>
      <c r="BB68" s="438" t="n"/>
      <c r="BC68" s="438" t="n"/>
      <c r="BD68" s="438" t="n"/>
      <c r="BE68" s="438" t="n"/>
      <c r="BF68" s="438" t="n"/>
      <c r="BG68" s="438" t="n"/>
      <c r="BH68" s="438" t="n"/>
      <c r="BI68" s="438" t="n"/>
      <c r="BJ68" s="438" t="n"/>
      <c r="BK68" s="438" t="n"/>
      <c r="BL68" s="438" t="n"/>
      <c r="BM68" s="438" t="n"/>
      <c r="BN68" s="438" t="n"/>
      <c r="BO68" s="438" t="n"/>
      <c r="BP68" s="438" t="n"/>
      <c r="BQ68" s="438" t="n"/>
      <c r="BR68" s="438" t="n"/>
      <c r="BS68" s="438" t="n"/>
      <c r="BT68" s="438" t="n"/>
      <c r="BU68" s="438" t="n"/>
      <c r="BV68" s="450" t="n"/>
      <c r="BW68" s="441" t="n"/>
      <c r="BX68" s="450" t="n"/>
      <c r="BY68" s="441" t="n"/>
      <c r="BZ68" s="450" t="n"/>
      <c r="CA68" s="450" t="n"/>
      <c r="CB68" s="450" t="n"/>
      <c r="CC68" s="450" t="n"/>
    </row>
    <row r="69" ht="14.25" customHeight="1" s="527">
      <c r="A69" s="520" t="n"/>
      <c r="B69" s="520" t="n"/>
      <c r="C69" s="520" t="n"/>
      <c r="D69" s="521" t="n"/>
      <c r="E69" s="438" t="n"/>
      <c r="F69" s="438" t="n"/>
      <c r="G69" s="521" t="n"/>
      <c r="H69" s="521" t="n"/>
      <c r="I69" s="521" t="n"/>
      <c r="J69" s="521" t="n"/>
      <c r="K69" s="521" t="n"/>
      <c r="L69" s="521" t="n"/>
      <c r="M69" s="521" t="n"/>
      <c r="N69" s="521" t="n"/>
      <c r="O69" s="438" t="n"/>
      <c r="P69" s="438" t="n"/>
      <c r="Q69" s="438" t="n"/>
      <c r="R69" s="438" t="n"/>
      <c r="S69" s="438" t="n"/>
      <c r="T69" s="438" t="n"/>
      <c r="U69" s="438" t="n"/>
      <c r="V69" s="438" t="n"/>
      <c r="W69" s="438" t="n"/>
      <c r="X69" s="438" t="n"/>
      <c r="Y69" s="438" t="n"/>
      <c r="Z69" s="438" t="n"/>
      <c r="AA69" s="438" t="n"/>
      <c r="AB69" s="438" t="n"/>
      <c r="AC69" s="438" t="n"/>
      <c r="AD69" s="438" t="n"/>
      <c r="AE69" s="438" t="n"/>
      <c r="AF69" s="438" t="n"/>
      <c r="AG69" s="438" t="n"/>
      <c r="AH69" s="438" t="n"/>
      <c r="AI69" s="438" t="n"/>
      <c r="AJ69" s="438" t="n"/>
      <c r="AK69" s="438" t="n"/>
      <c r="AL69" s="438" t="n"/>
      <c r="AM69" s="438" t="n"/>
      <c r="AN69" s="438" t="n"/>
      <c r="AO69" s="438" t="n"/>
      <c r="AP69" s="438" t="n"/>
      <c r="AQ69" s="438" t="n"/>
      <c r="AR69" s="438" t="n"/>
      <c r="AS69" s="438" t="n"/>
      <c r="AT69" s="438" t="n"/>
      <c r="AU69" s="438" t="n"/>
      <c r="AV69" s="438" t="n"/>
      <c r="AW69" s="438" t="n"/>
      <c r="AX69" s="438" t="n"/>
      <c r="AY69" s="438" t="n"/>
      <c r="AZ69" s="438" t="n"/>
      <c r="BA69" s="438" t="n"/>
      <c r="BB69" s="438" t="n"/>
      <c r="BC69" s="438" t="n"/>
      <c r="BD69" s="438" t="n"/>
      <c r="BE69" s="438" t="n"/>
      <c r="BF69" s="438" t="n"/>
      <c r="BG69" s="438" t="n"/>
      <c r="BH69" s="438" t="n"/>
      <c r="BI69" s="438" t="n"/>
      <c r="BJ69" s="438" t="n"/>
      <c r="BK69" s="438" t="n"/>
      <c r="BL69" s="438" t="n"/>
      <c r="BM69" s="438" t="n"/>
      <c r="BN69" s="438" t="n"/>
      <c r="BO69" s="438" t="n"/>
      <c r="BP69" s="438" t="n"/>
      <c r="BQ69" s="438" t="n"/>
      <c r="BR69" s="438" t="n"/>
      <c r="BS69" s="438" t="n"/>
      <c r="BT69" s="438" t="n"/>
      <c r="BU69" s="438" t="n"/>
      <c r="BV69" s="450" t="n"/>
      <c r="BW69" s="441" t="n"/>
      <c r="BX69" s="450" t="n"/>
      <c r="BY69" s="441" t="n"/>
      <c r="BZ69" s="450" t="n"/>
      <c r="CA69" s="450" t="n"/>
      <c r="CB69" s="450" t="n"/>
      <c r="CC69" s="450" t="n"/>
    </row>
    <row r="70" ht="14.25" customHeight="1" s="527">
      <c r="A70" s="520" t="n"/>
      <c r="B70" s="520" t="n"/>
      <c r="C70" s="520" t="n"/>
      <c r="D70" s="521" t="n"/>
      <c r="E70" s="438" t="n"/>
      <c r="F70" s="438" t="n"/>
      <c r="G70" s="521" t="n"/>
      <c r="H70" s="521" t="n"/>
      <c r="I70" s="521" t="n"/>
      <c r="J70" s="521" t="n"/>
      <c r="K70" s="521" t="n"/>
      <c r="L70" s="521" t="n"/>
      <c r="M70" s="521" t="n"/>
      <c r="N70" s="521" t="n"/>
      <c r="O70" s="438" t="n"/>
      <c r="P70" s="438" t="n"/>
      <c r="Q70" s="438" t="n"/>
      <c r="R70" s="438" t="n"/>
      <c r="S70" s="438" t="n"/>
      <c r="T70" s="438" t="n"/>
      <c r="U70" s="438" t="n"/>
      <c r="V70" s="438" t="n"/>
      <c r="W70" s="438" t="n"/>
      <c r="X70" s="438" t="n"/>
      <c r="Y70" s="438" t="n"/>
      <c r="Z70" s="438" t="n"/>
      <c r="AA70" s="438" t="n"/>
      <c r="AB70" s="438" t="n"/>
      <c r="AC70" s="438" t="n"/>
      <c r="AD70" s="438" t="n"/>
      <c r="AE70" s="438" t="n"/>
      <c r="AF70" s="438" t="n"/>
      <c r="AG70" s="438" t="n"/>
      <c r="AH70" s="438" t="n"/>
      <c r="AI70" s="438" t="n"/>
      <c r="AJ70" s="438" t="n"/>
      <c r="AK70" s="438" t="n"/>
      <c r="AL70" s="438" t="n"/>
      <c r="AM70" s="438" t="n"/>
      <c r="AN70" s="438" t="n"/>
      <c r="AO70" s="438" t="n"/>
      <c r="AP70" s="438" t="n"/>
      <c r="AQ70" s="438" t="n"/>
      <c r="AR70" s="438" t="n"/>
      <c r="AS70" s="438" t="n"/>
      <c r="AT70" s="438" t="n"/>
      <c r="AU70" s="438" t="n"/>
      <c r="AV70" s="438" t="n"/>
      <c r="AW70" s="438" t="n"/>
      <c r="AX70" s="438" t="n"/>
      <c r="AY70" s="438" t="n"/>
      <c r="AZ70" s="438" t="n"/>
      <c r="BA70" s="438" t="n"/>
      <c r="BB70" s="438" t="n"/>
      <c r="BC70" s="438" t="n"/>
      <c r="BD70" s="438" t="n"/>
      <c r="BE70" s="438" t="n"/>
      <c r="BF70" s="438" t="n"/>
      <c r="BG70" s="438" t="n"/>
      <c r="BH70" s="438" t="n"/>
      <c r="BI70" s="438" t="n"/>
      <c r="BJ70" s="438" t="n"/>
      <c r="BK70" s="438" t="n"/>
      <c r="BL70" s="438" t="n"/>
      <c r="BM70" s="438" t="n"/>
      <c r="BN70" s="438" t="n"/>
      <c r="BO70" s="438" t="n"/>
      <c r="BP70" s="438" t="n"/>
      <c r="BQ70" s="438" t="n"/>
      <c r="BR70" s="438" t="n"/>
      <c r="BS70" s="438" t="n"/>
      <c r="BT70" s="438" t="n"/>
      <c r="BU70" s="438" t="n"/>
      <c r="BV70" s="450" t="n"/>
      <c r="BW70" s="441" t="n"/>
      <c r="BX70" s="450" t="n"/>
      <c r="BY70" s="441" t="n"/>
      <c r="BZ70" s="450" t="n"/>
      <c r="CA70" s="450" t="n"/>
      <c r="CB70" s="450" t="n"/>
      <c r="CC70" s="450" t="n"/>
    </row>
    <row r="71" ht="14.25" customHeight="1" s="527">
      <c r="A71" s="520" t="n"/>
      <c r="B71" s="520" t="n"/>
      <c r="C71" s="520" t="n"/>
      <c r="D71" s="521" t="n"/>
      <c r="E71" s="438" t="n"/>
      <c r="F71" s="438" t="n"/>
      <c r="G71" s="521" t="n"/>
      <c r="H71" s="521" t="n"/>
      <c r="I71" s="521" t="n"/>
      <c r="J71" s="521" t="n"/>
      <c r="K71" s="521" t="n"/>
      <c r="L71" s="521" t="n"/>
      <c r="M71" s="521" t="n"/>
      <c r="N71" s="521" t="n"/>
      <c r="O71" s="438" t="n"/>
      <c r="P71" s="438" t="n"/>
      <c r="Q71" s="438" t="n"/>
      <c r="R71" s="438" t="n"/>
      <c r="S71" s="438" t="n"/>
      <c r="T71" s="438" t="n"/>
      <c r="U71" s="438" t="n"/>
      <c r="V71" s="438" t="n"/>
      <c r="W71" s="438" t="n"/>
      <c r="X71" s="438" t="n"/>
      <c r="Y71" s="438" t="n"/>
      <c r="Z71" s="438" t="n"/>
      <c r="AA71" s="438" t="n"/>
      <c r="AB71" s="438" t="n"/>
      <c r="AC71" s="438" t="n"/>
      <c r="AD71" s="438" t="n"/>
      <c r="AE71" s="438" t="n"/>
      <c r="AF71" s="438" t="n"/>
      <c r="AG71" s="438" t="n"/>
      <c r="AH71" s="438" t="n"/>
      <c r="AI71" s="438" t="n"/>
      <c r="AJ71" s="438" t="n"/>
      <c r="AK71" s="438" t="n"/>
      <c r="AL71" s="438" t="n"/>
      <c r="AM71" s="438" t="n"/>
      <c r="AN71" s="438" t="n"/>
      <c r="AO71" s="438" t="n"/>
      <c r="AP71" s="438" t="n"/>
      <c r="AQ71" s="438" t="n"/>
      <c r="AR71" s="438" t="n"/>
      <c r="AS71" s="438" t="n"/>
      <c r="AT71" s="438" t="n"/>
      <c r="AU71" s="438" t="n"/>
      <c r="AV71" s="438" t="n"/>
      <c r="AW71" s="438" t="n"/>
      <c r="AX71" s="438" t="n"/>
      <c r="AY71" s="438" t="n"/>
      <c r="AZ71" s="438" t="n"/>
      <c r="BA71" s="438" t="n"/>
      <c r="BB71" s="438" t="n"/>
      <c r="BC71" s="438" t="n"/>
      <c r="BD71" s="438" t="n"/>
      <c r="BE71" s="438" t="n"/>
      <c r="BF71" s="438" t="n"/>
      <c r="BG71" s="438" t="n"/>
      <c r="BH71" s="438" t="n"/>
      <c r="BI71" s="438" t="n"/>
      <c r="BJ71" s="438" t="n"/>
      <c r="BK71" s="438" t="n"/>
      <c r="BL71" s="438" t="n"/>
      <c r="BM71" s="438" t="n"/>
      <c r="BN71" s="438" t="n"/>
      <c r="BO71" s="438" t="n"/>
      <c r="BP71" s="438" t="n"/>
      <c r="BQ71" s="438" t="n"/>
      <c r="BR71" s="438" t="n"/>
      <c r="BS71" s="438" t="n"/>
      <c r="BT71" s="438" t="n"/>
      <c r="BU71" s="438" t="n"/>
      <c r="BV71" s="450" t="n"/>
      <c r="BW71" s="441" t="n"/>
      <c r="BX71" s="450" t="n"/>
      <c r="BY71" s="441" t="n"/>
      <c r="BZ71" s="450" t="n"/>
      <c r="CA71" s="450" t="n"/>
      <c r="CB71" s="450" t="n"/>
      <c r="CC71" s="450" t="n"/>
    </row>
    <row r="72" ht="14.25" customHeight="1" s="527">
      <c r="A72" s="520" t="n"/>
      <c r="B72" s="520" t="n"/>
      <c r="C72" s="520" t="n"/>
      <c r="D72" s="521" t="n"/>
      <c r="E72" s="438" t="n"/>
      <c r="F72" s="438" t="n"/>
      <c r="G72" s="521" t="n"/>
      <c r="H72" s="521" t="n"/>
      <c r="I72" s="521" t="n"/>
      <c r="J72" s="521" t="n"/>
      <c r="K72" s="521" t="n"/>
      <c r="L72" s="521" t="n"/>
      <c r="M72" s="521" t="n"/>
      <c r="N72" s="521" t="n"/>
      <c r="O72" s="438" t="n"/>
      <c r="P72" s="438" t="n"/>
      <c r="Q72" s="438" t="n"/>
      <c r="R72" s="438" t="n"/>
      <c r="S72" s="438" t="n"/>
      <c r="T72" s="438" t="n"/>
      <c r="U72" s="438" t="n"/>
      <c r="V72" s="438" t="n"/>
      <c r="W72" s="438" t="n"/>
      <c r="X72" s="438" t="n"/>
      <c r="Y72" s="438" t="n"/>
      <c r="Z72" s="438" t="n"/>
      <c r="AA72" s="438" t="n"/>
      <c r="AB72" s="438" t="n"/>
      <c r="AC72" s="438" t="n"/>
      <c r="AD72" s="438" t="n"/>
      <c r="AE72" s="438" t="n"/>
      <c r="AF72" s="438" t="n"/>
      <c r="AG72" s="438" t="n"/>
      <c r="AH72" s="438" t="n"/>
      <c r="AI72" s="438" t="n"/>
      <c r="AJ72" s="438" t="n"/>
      <c r="AK72" s="438" t="n"/>
      <c r="AL72" s="438" t="n"/>
      <c r="AM72" s="438" t="n"/>
      <c r="AN72" s="438" t="n"/>
      <c r="AO72" s="438" t="n"/>
      <c r="AP72" s="438" t="n"/>
      <c r="AQ72" s="438" t="n"/>
      <c r="AR72" s="438" t="n"/>
      <c r="AS72" s="438" t="n"/>
      <c r="AT72" s="438" t="n"/>
      <c r="AU72" s="438" t="n"/>
      <c r="AV72" s="438" t="n"/>
      <c r="AW72" s="438" t="n"/>
      <c r="AX72" s="438" t="n"/>
      <c r="AY72" s="438" t="n"/>
      <c r="AZ72" s="438" t="n"/>
      <c r="BA72" s="438" t="n"/>
      <c r="BB72" s="438" t="n"/>
      <c r="BC72" s="438" t="n"/>
      <c r="BD72" s="438" t="n"/>
      <c r="BE72" s="438" t="n"/>
      <c r="BF72" s="438" t="n"/>
      <c r="BG72" s="438" t="n"/>
      <c r="BH72" s="438" t="n"/>
      <c r="BI72" s="438" t="n"/>
      <c r="BJ72" s="438" t="n"/>
      <c r="BK72" s="438" t="n"/>
      <c r="BL72" s="438" t="n"/>
      <c r="BM72" s="438" t="n"/>
      <c r="BN72" s="438" t="n"/>
      <c r="BO72" s="438" t="n"/>
      <c r="BP72" s="438" t="n"/>
      <c r="BQ72" s="438" t="n"/>
      <c r="BR72" s="438" t="n"/>
      <c r="BS72" s="438" t="n"/>
      <c r="BT72" s="438" t="n"/>
      <c r="BU72" s="438" t="n"/>
      <c r="BV72" s="450" t="n"/>
      <c r="BW72" s="441" t="n"/>
      <c r="BX72" s="450" t="n"/>
      <c r="BY72" s="441" t="n"/>
      <c r="BZ72" s="450" t="n"/>
      <c r="CA72" s="450" t="n"/>
      <c r="CB72" s="450" t="n"/>
      <c r="CC72" s="450" t="n"/>
    </row>
    <row r="73" ht="14.25" customHeight="1" s="527">
      <c r="A73" s="520" t="n"/>
      <c r="B73" s="520" t="n"/>
      <c r="C73" s="520" t="n"/>
      <c r="D73" s="521" t="n"/>
      <c r="E73" s="438" t="n"/>
      <c r="F73" s="438" t="n"/>
      <c r="G73" s="521" t="n"/>
      <c r="H73" s="521" t="n"/>
      <c r="I73" s="521" t="n"/>
      <c r="J73" s="521" t="n"/>
      <c r="K73" s="521" t="n"/>
      <c r="L73" s="521" t="n"/>
      <c r="M73" s="521" t="n"/>
      <c r="N73" s="521" t="n"/>
      <c r="O73" s="438" t="n"/>
      <c r="P73" s="438" t="n"/>
      <c r="Q73" s="438" t="n"/>
      <c r="R73" s="438" t="n"/>
      <c r="S73" s="438" t="n"/>
      <c r="T73" s="438" t="n"/>
      <c r="U73" s="438" t="n"/>
      <c r="V73" s="438" t="n"/>
      <c r="W73" s="438" t="n"/>
      <c r="X73" s="438" t="n"/>
      <c r="Y73" s="438" t="n"/>
      <c r="Z73" s="438" t="n"/>
      <c r="AA73" s="438" t="n"/>
      <c r="AB73" s="438" t="n"/>
      <c r="AC73" s="438" t="n"/>
      <c r="AD73" s="438" t="n"/>
      <c r="AE73" s="438" t="n"/>
      <c r="AF73" s="438" t="n"/>
      <c r="AG73" s="438" t="n"/>
      <c r="AH73" s="438" t="n"/>
      <c r="AI73" s="438" t="n"/>
      <c r="AJ73" s="438" t="n"/>
      <c r="AK73" s="438" t="n"/>
      <c r="AL73" s="438" t="n"/>
      <c r="AM73" s="438" t="n"/>
      <c r="AN73" s="438" t="n"/>
      <c r="AO73" s="438" t="n"/>
      <c r="AP73" s="438" t="n"/>
      <c r="AQ73" s="438" t="n"/>
      <c r="AR73" s="438" t="n"/>
      <c r="AS73" s="438" t="n"/>
      <c r="AT73" s="438" t="n"/>
      <c r="AU73" s="438" t="n"/>
      <c r="AV73" s="438" t="n"/>
      <c r="AW73" s="438" t="n"/>
      <c r="AX73" s="438" t="n"/>
      <c r="AY73" s="438" t="n"/>
      <c r="AZ73" s="438" t="n"/>
      <c r="BA73" s="438" t="n"/>
      <c r="BB73" s="438" t="n"/>
      <c r="BC73" s="438" t="n"/>
      <c r="BD73" s="438" t="n"/>
      <c r="BE73" s="438" t="n"/>
      <c r="BF73" s="438" t="n"/>
      <c r="BG73" s="438" t="n"/>
      <c r="BH73" s="438" t="n"/>
      <c r="BI73" s="438" t="n"/>
      <c r="BJ73" s="438" t="n"/>
      <c r="BK73" s="438" t="n"/>
      <c r="BL73" s="438" t="n"/>
      <c r="BM73" s="438" t="n"/>
      <c r="BN73" s="438" t="n"/>
      <c r="BO73" s="438" t="n"/>
      <c r="BP73" s="438" t="n"/>
      <c r="BQ73" s="438" t="n"/>
      <c r="BR73" s="438" t="n"/>
      <c r="BS73" s="438" t="n"/>
      <c r="BT73" s="438" t="n"/>
      <c r="BU73" s="438" t="n"/>
      <c r="BV73" s="450" t="n"/>
      <c r="BW73" s="441" t="n"/>
      <c r="BX73" s="450" t="n"/>
      <c r="BY73" s="441" t="n"/>
      <c r="BZ73" s="450" t="n"/>
      <c r="CA73" s="450" t="n"/>
      <c r="CB73" s="450" t="n"/>
      <c r="CC73" s="450" t="n"/>
    </row>
    <row r="74" ht="14.25" customHeight="1" s="527">
      <c r="A74" s="520" t="n"/>
      <c r="B74" s="520" t="n"/>
      <c r="C74" s="520" t="n"/>
      <c r="D74" s="521" t="n"/>
      <c r="E74" s="438" t="n"/>
      <c r="F74" s="438" t="n"/>
      <c r="G74" s="521" t="n"/>
      <c r="H74" s="521" t="n"/>
      <c r="I74" s="521" t="n"/>
      <c r="J74" s="521" t="n"/>
      <c r="K74" s="521" t="n"/>
      <c r="L74" s="521" t="n"/>
      <c r="M74" s="521" t="n"/>
      <c r="N74" s="521" t="n"/>
      <c r="O74" s="438" t="n"/>
      <c r="P74" s="438" t="n"/>
      <c r="Q74" s="438" t="n"/>
      <c r="R74" s="438" t="n"/>
      <c r="S74" s="438" t="n"/>
      <c r="T74" s="438" t="n"/>
      <c r="U74" s="438" t="n"/>
      <c r="V74" s="438" t="n"/>
      <c r="W74" s="438" t="n"/>
      <c r="X74" s="438" t="n"/>
      <c r="Y74" s="438" t="n"/>
      <c r="Z74" s="438" t="n"/>
      <c r="AA74" s="438" t="n"/>
      <c r="AB74" s="438" t="n"/>
      <c r="AC74" s="438" t="n"/>
      <c r="AD74" s="438" t="n"/>
      <c r="AE74" s="438" t="n"/>
      <c r="AF74" s="438" t="n"/>
      <c r="AG74" s="438" t="n"/>
      <c r="AH74" s="438" t="n"/>
      <c r="AI74" s="438" t="n"/>
      <c r="AJ74" s="438" t="n"/>
      <c r="AK74" s="438" t="n"/>
      <c r="AL74" s="438" t="n"/>
      <c r="AM74" s="438" t="n"/>
      <c r="AN74" s="438" t="n"/>
      <c r="AO74" s="438" t="n"/>
      <c r="AP74" s="438" t="n"/>
      <c r="AQ74" s="438" t="n"/>
      <c r="AR74" s="438" t="n"/>
      <c r="AS74" s="438" t="n"/>
      <c r="AT74" s="438" t="n"/>
      <c r="AU74" s="438" t="n"/>
      <c r="AV74" s="438" t="n"/>
      <c r="AW74" s="438" t="n"/>
      <c r="AX74" s="438" t="n"/>
      <c r="AY74" s="438" t="n"/>
      <c r="AZ74" s="438" t="n"/>
      <c r="BA74" s="438" t="n"/>
      <c r="BB74" s="438" t="n"/>
      <c r="BC74" s="438" t="n"/>
      <c r="BD74" s="438" t="n"/>
      <c r="BE74" s="438" t="n"/>
      <c r="BF74" s="438" t="n"/>
      <c r="BG74" s="438" t="n"/>
      <c r="BH74" s="438" t="n"/>
      <c r="BI74" s="438" t="n"/>
      <c r="BJ74" s="438" t="n"/>
      <c r="BK74" s="438" t="n"/>
      <c r="BL74" s="438" t="n"/>
      <c r="BM74" s="438" t="n"/>
      <c r="BN74" s="438" t="n"/>
      <c r="BO74" s="438" t="n"/>
      <c r="BP74" s="438" t="n"/>
      <c r="BQ74" s="438" t="n"/>
      <c r="BR74" s="438" t="n"/>
      <c r="BS74" s="438" t="n"/>
      <c r="BT74" s="438" t="n"/>
      <c r="BU74" s="438" t="n"/>
      <c r="BV74" s="450" t="n"/>
      <c r="BW74" s="441" t="n"/>
      <c r="BX74" s="450" t="n"/>
      <c r="BY74" s="441" t="n"/>
      <c r="BZ74" s="450" t="n"/>
      <c r="CA74" s="450" t="n"/>
      <c r="CB74" s="450" t="n"/>
      <c r="CC74" s="450" t="n"/>
    </row>
    <row r="75" ht="14.25" customHeight="1" s="527">
      <c r="A75" s="520" t="n"/>
      <c r="B75" s="520" t="n"/>
      <c r="C75" s="520" t="n"/>
      <c r="D75" s="521" t="n"/>
      <c r="E75" s="438" t="n"/>
      <c r="F75" s="438" t="n"/>
      <c r="G75" s="521" t="n"/>
      <c r="H75" s="521" t="n"/>
      <c r="I75" s="521" t="n"/>
      <c r="J75" s="521" t="n"/>
      <c r="K75" s="521" t="n"/>
      <c r="L75" s="521" t="n"/>
      <c r="M75" s="521" t="n"/>
      <c r="N75" s="521" t="n"/>
      <c r="O75" s="438" t="n"/>
      <c r="P75" s="438" t="n"/>
      <c r="Q75" s="438" t="n"/>
      <c r="R75" s="438" t="n"/>
      <c r="S75" s="438" t="n"/>
      <c r="T75" s="438" t="n"/>
      <c r="U75" s="438" t="n"/>
      <c r="V75" s="438" t="n"/>
      <c r="W75" s="438" t="n"/>
      <c r="X75" s="438" t="n"/>
      <c r="Y75" s="438" t="n"/>
      <c r="Z75" s="438" t="n"/>
      <c r="AA75" s="438" t="n"/>
      <c r="AB75" s="438" t="n"/>
      <c r="AC75" s="438" t="n"/>
      <c r="AD75" s="438" t="n"/>
      <c r="AE75" s="438" t="n"/>
      <c r="AF75" s="438" t="n"/>
      <c r="AG75" s="438" t="n"/>
      <c r="AH75" s="438" t="n"/>
      <c r="AI75" s="438" t="n"/>
      <c r="AJ75" s="438" t="n"/>
      <c r="AK75" s="438" t="n"/>
      <c r="AL75" s="438" t="n"/>
      <c r="AM75" s="438" t="n"/>
      <c r="AN75" s="438" t="n"/>
      <c r="AO75" s="438" t="n"/>
      <c r="AP75" s="438" t="n"/>
      <c r="AQ75" s="438" t="n"/>
      <c r="AR75" s="438" t="n"/>
      <c r="AS75" s="438" t="n"/>
      <c r="AT75" s="438" t="n"/>
      <c r="AU75" s="438" t="n"/>
      <c r="AV75" s="438" t="n"/>
      <c r="AW75" s="438" t="n"/>
      <c r="AX75" s="438" t="n"/>
      <c r="AY75" s="438" t="n"/>
      <c r="AZ75" s="438" t="n"/>
      <c r="BA75" s="438" t="n"/>
      <c r="BB75" s="438" t="n"/>
      <c r="BC75" s="438" t="n"/>
      <c r="BD75" s="438" t="n"/>
      <c r="BE75" s="438" t="n"/>
      <c r="BF75" s="438" t="n"/>
      <c r="BG75" s="438" t="n"/>
      <c r="BH75" s="438" t="n"/>
      <c r="BI75" s="438" t="n"/>
      <c r="BJ75" s="438" t="n"/>
      <c r="BK75" s="438" t="n"/>
      <c r="BL75" s="438" t="n"/>
      <c r="BM75" s="438" t="n"/>
      <c r="BN75" s="438" t="n"/>
      <c r="BO75" s="438" t="n"/>
      <c r="BP75" s="438" t="n"/>
      <c r="BQ75" s="438" t="n"/>
      <c r="BR75" s="438" t="n"/>
      <c r="BS75" s="438" t="n"/>
      <c r="BT75" s="438" t="n"/>
      <c r="BU75" s="438" t="n"/>
      <c r="BV75" s="450" t="n"/>
      <c r="BW75" s="441" t="n"/>
      <c r="BX75" s="450" t="n"/>
      <c r="BY75" s="441" t="n"/>
      <c r="BZ75" s="450" t="n"/>
      <c r="CA75" s="450" t="n"/>
      <c r="CB75" s="450" t="n"/>
      <c r="CC75" s="450" t="n"/>
    </row>
    <row r="76" ht="14.25" customHeight="1" s="527">
      <c r="A76" s="520" t="n"/>
      <c r="B76" s="520" t="n"/>
      <c r="C76" s="520" t="n"/>
      <c r="D76" s="521" t="n"/>
      <c r="E76" s="438" t="n"/>
      <c r="F76" s="438" t="n"/>
      <c r="G76" s="521" t="n"/>
      <c r="H76" s="521" t="n"/>
      <c r="I76" s="521" t="n"/>
      <c r="J76" s="521" t="n"/>
      <c r="K76" s="521" t="n"/>
      <c r="L76" s="521" t="n"/>
      <c r="M76" s="521" t="n"/>
      <c r="N76" s="521" t="n"/>
      <c r="O76" s="438" t="n"/>
      <c r="P76" s="438" t="n"/>
      <c r="Q76" s="438" t="n"/>
      <c r="R76" s="438" t="n"/>
      <c r="S76" s="438" t="n"/>
      <c r="T76" s="438" t="n"/>
      <c r="U76" s="438" t="n"/>
      <c r="V76" s="438" t="n"/>
      <c r="W76" s="438" t="n"/>
      <c r="X76" s="438" t="n"/>
      <c r="Y76" s="438" t="n"/>
      <c r="Z76" s="438" t="n"/>
      <c r="AA76" s="438" t="n"/>
      <c r="AB76" s="438" t="n"/>
      <c r="AC76" s="438" t="n"/>
      <c r="AD76" s="438" t="n"/>
      <c r="AE76" s="438" t="n"/>
      <c r="AF76" s="438" t="n"/>
      <c r="AG76" s="438" t="n"/>
      <c r="AH76" s="438" t="n"/>
      <c r="AI76" s="438" t="n"/>
      <c r="AJ76" s="438" t="n"/>
      <c r="AK76" s="438" t="n"/>
      <c r="AL76" s="438" t="n"/>
      <c r="AM76" s="438" t="n"/>
      <c r="AN76" s="438" t="n"/>
      <c r="AO76" s="438" t="n"/>
      <c r="AP76" s="438" t="n"/>
      <c r="AQ76" s="438" t="n"/>
      <c r="AR76" s="438" t="n"/>
      <c r="AS76" s="438" t="n"/>
      <c r="AT76" s="438" t="n"/>
      <c r="AU76" s="438" t="n"/>
      <c r="AV76" s="438" t="n"/>
      <c r="AW76" s="438" t="n"/>
      <c r="AX76" s="438" t="n"/>
      <c r="AY76" s="438" t="n"/>
      <c r="AZ76" s="438" t="n"/>
      <c r="BA76" s="438" t="n"/>
      <c r="BB76" s="438" t="n"/>
      <c r="BC76" s="438" t="n"/>
      <c r="BD76" s="438" t="n"/>
      <c r="BE76" s="438" t="n"/>
      <c r="BF76" s="438" t="n"/>
      <c r="BG76" s="438" t="n"/>
      <c r="BH76" s="438" t="n"/>
      <c r="BI76" s="438" t="n"/>
      <c r="BJ76" s="438" t="n"/>
      <c r="BK76" s="438" t="n"/>
      <c r="BL76" s="438" t="n"/>
      <c r="BM76" s="438" t="n"/>
      <c r="BN76" s="438" t="n"/>
      <c r="BO76" s="438" t="n"/>
      <c r="BP76" s="438" t="n"/>
      <c r="BQ76" s="438" t="n"/>
      <c r="BR76" s="438" t="n"/>
      <c r="BS76" s="438" t="n"/>
      <c r="BT76" s="438" t="n"/>
      <c r="BU76" s="438" t="n"/>
      <c r="BV76" s="450" t="n"/>
      <c r="BW76" s="441" t="n"/>
      <c r="BX76" s="450" t="n"/>
      <c r="BY76" s="441" t="n"/>
      <c r="BZ76" s="450" t="n"/>
      <c r="CA76" s="450" t="n"/>
      <c r="CB76" s="450" t="n"/>
      <c r="CC76" s="450" t="n"/>
    </row>
    <row r="77" ht="14.25" customHeight="1" s="527">
      <c r="A77" s="520" t="n"/>
      <c r="B77" s="520" t="n"/>
      <c r="C77" s="520" t="n"/>
      <c r="D77" s="521" t="n"/>
      <c r="E77" s="438" t="n"/>
      <c r="F77" s="438" t="n"/>
      <c r="G77" s="521" t="n"/>
      <c r="H77" s="521" t="n"/>
      <c r="I77" s="521" t="n"/>
      <c r="J77" s="521" t="n"/>
      <c r="K77" s="521" t="n"/>
      <c r="L77" s="521" t="n"/>
      <c r="M77" s="521" t="n"/>
      <c r="N77" s="521" t="n"/>
      <c r="O77" s="438" t="n"/>
      <c r="P77" s="438" t="n"/>
      <c r="Q77" s="438" t="n"/>
      <c r="R77" s="438" t="n"/>
      <c r="S77" s="438" t="n"/>
      <c r="T77" s="438" t="n"/>
      <c r="U77" s="438" t="n"/>
      <c r="V77" s="438" t="n"/>
      <c r="W77" s="438" t="n"/>
      <c r="X77" s="438" t="n"/>
      <c r="Y77" s="438" t="n"/>
      <c r="Z77" s="438" t="n"/>
      <c r="AA77" s="438" t="n"/>
      <c r="AB77" s="438" t="n"/>
      <c r="AC77" s="438" t="n"/>
      <c r="AD77" s="438" t="n"/>
      <c r="AE77" s="438" t="n"/>
      <c r="AF77" s="438" t="n"/>
      <c r="AG77" s="438" t="n"/>
      <c r="AH77" s="438" t="n"/>
      <c r="AI77" s="438" t="n"/>
      <c r="AJ77" s="438" t="n"/>
      <c r="AK77" s="438" t="n"/>
      <c r="AL77" s="438" t="n"/>
      <c r="AM77" s="438" t="n"/>
      <c r="AN77" s="438" t="n"/>
      <c r="AO77" s="438" t="n"/>
      <c r="AP77" s="438" t="n"/>
      <c r="AQ77" s="438" t="n"/>
      <c r="AR77" s="438" t="n"/>
      <c r="AS77" s="438" t="n"/>
      <c r="AT77" s="438" t="n"/>
      <c r="AU77" s="438" t="n"/>
      <c r="AV77" s="438" t="n"/>
      <c r="AW77" s="438" t="n"/>
      <c r="AX77" s="438" t="n"/>
      <c r="AY77" s="438" t="n"/>
      <c r="AZ77" s="438" t="n"/>
      <c r="BA77" s="438" t="n"/>
      <c r="BB77" s="438" t="n"/>
      <c r="BC77" s="438" t="n"/>
      <c r="BD77" s="438" t="n"/>
      <c r="BE77" s="438" t="n"/>
      <c r="BF77" s="438" t="n"/>
      <c r="BG77" s="438" t="n"/>
      <c r="BH77" s="438" t="n"/>
      <c r="BI77" s="438" t="n"/>
      <c r="BJ77" s="438" t="n"/>
      <c r="BK77" s="438" t="n"/>
      <c r="BL77" s="438" t="n"/>
      <c r="BM77" s="438" t="n"/>
      <c r="BN77" s="438" t="n"/>
      <c r="BO77" s="438" t="n"/>
      <c r="BP77" s="438" t="n"/>
      <c r="BQ77" s="438" t="n"/>
      <c r="BR77" s="438" t="n"/>
      <c r="BS77" s="438" t="n"/>
      <c r="BT77" s="438" t="n"/>
      <c r="BU77" s="438" t="n"/>
      <c r="BV77" s="450" t="n"/>
      <c r="BW77" s="441" t="n"/>
      <c r="BX77" s="450" t="n"/>
      <c r="BY77" s="441" t="n"/>
      <c r="BZ77" s="450" t="n"/>
      <c r="CA77" s="450" t="n"/>
      <c r="CB77" s="450" t="n"/>
      <c r="CC77" s="450" t="n"/>
    </row>
    <row r="78" ht="14.25" customHeight="1" s="527">
      <c r="A78" s="520" t="n"/>
      <c r="B78" s="520" t="n"/>
      <c r="C78" s="520" t="n"/>
      <c r="D78" s="521" t="n"/>
      <c r="E78" s="438" t="n"/>
      <c r="F78" s="438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438" t="n"/>
      <c r="P78" s="438" t="n"/>
      <c r="Q78" s="438" t="n"/>
      <c r="R78" s="438" t="n"/>
      <c r="S78" s="438" t="n"/>
      <c r="T78" s="438" t="n"/>
      <c r="U78" s="438" t="n"/>
      <c r="V78" s="438" t="n"/>
      <c r="W78" s="438" t="n"/>
      <c r="X78" s="438" t="n"/>
      <c r="Y78" s="438" t="n"/>
      <c r="Z78" s="438" t="n"/>
      <c r="AA78" s="438" t="n"/>
      <c r="AB78" s="438" t="n"/>
      <c r="AC78" s="438" t="n"/>
      <c r="AD78" s="438" t="n"/>
      <c r="AE78" s="438" t="n"/>
      <c r="AF78" s="438" t="n"/>
      <c r="AG78" s="438" t="n"/>
      <c r="AH78" s="438" t="n"/>
      <c r="AI78" s="438" t="n"/>
      <c r="AJ78" s="438" t="n"/>
      <c r="AK78" s="438" t="n"/>
      <c r="AL78" s="438" t="n"/>
      <c r="AM78" s="438" t="n"/>
      <c r="AN78" s="438" t="n"/>
      <c r="AO78" s="438" t="n"/>
      <c r="AP78" s="438" t="n"/>
      <c r="AQ78" s="438" t="n"/>
      <c r="AR78" s="438" t="n"/>
      <c r="AS78" s="438" t="n"/>
      <c r="AT78" s="438" t="n"/>
      <c r="AU78" s="438" t="n"/>
      <c r="AV78" s="438" t="n"/>
      <c r="AW78" s="438" t="n"/>
      <c r="AX78" s="438" t="n"/>
      <c r="AY78" s="438" t="n"/>
      <c r="AZ78" s="438" t="n"/>
      <c r="BA78" s="438" t="n"/>
      <c r="BB78" s="438" t="n"/>
      <c r="BC78" s="438" t="n"/>
      <c r="BD78" s="438" t="n"/>
      <c r="BE78" s="438" t="n"/>
      <c r="BF78" s="438" t="n"/>
      <c r="BG78" s="438" t="n"/>
      <c r="BH78" s="438" t="n"/>
      <c r="BI78" s="438" t="n"/>
      <c r="BJ78" s="438" t="n"/>
      <c r="BK78" s="438" t="n"/>
      <c r="BL78" s="438" t="n"/>
      <c r="BM78" s="438" t="n"/>
      <c r="BN78" s="438" t="n"/>
      <c r="BO78" s="438" t="n"/>
      <c r="BP78" s="438" t="n"/>
      <c r="BQ78" s="438" t="n"/>
      <c r="BR78" s="438" t="n"/>
      <c r="BS78" s="438" t="n"/>
      <c r="BT78" s="438" t="n"/>
      <c r="BU78" s="438" t="n"/>
      <c r="BV78" s="450" t="n"/>
      <c r="BW78" s="441" t="n"/>
      <c r="BX78" s="450" t="n"/>
      <c r="BY78" s="441" t="n"/>
      <c r="BZ78" s="450" t="n"/>
      <c r="CA78" s="450" t="n"/>
      <c r="CB78" s="450" t="n"/>
      <c r="CC78" s="450" t="n"/>
    </row>
    <row r="79" ht="14.25" customHeight="1" s="527">
      <c r="A79" s="520" t="n"/>
      <c r="B79" s="520" t="n"/>
      <c r="C79" s="520" t="n"/>
      <c r="D79" s="521" t="n"/>
      <c r="E79" s="438" t="n"/>
      <c r="F79" s="438" t="n"/>
      <c r="G79" s="521" t="n"/>
      <c r="H79" s="521" t="n"/>
      <c r="I79" s="521" t="n"/>
      <c r="J79" s="521" t="n"/>
      <c r="K79" s="521" t="n"/>
      <c r="L79" s="521" t="n"/>
      <c r="M79" s="521" t="n"/>
      <c r="N79" s="521" t="n"/>
      <c r="O79" s="438" t="n"/>
      <c r="P79" s="438" t="n"/>
      <c r="Q79" s="438" t="n"/>
      <c r="R79" s="438" t="n"/>
      <c r="S79" s="438" t="n"/>
      <c r="T79" s="438" t="n"/>
      <c r="U79" s="438" t="n"/>
      <c r="V79" s="438" t="n"/>
      <c r="W79" s="438" t="n"/>
      <c r="X79" s="438" t="n"/>
      <c r="Y79" s="438" t="n"/>
      <c r="Z79" s="438" t="n"/>
      <c r="AA79" s="438" t="n"/>
      <c r="AB79" s="438" t="n"/>
      <c r="AC79" s="438" t="n"/>
      <c r="AD79" s="438" t="n"/>
      <c r="AE79" s="438" t="n"/>
      <c r="AF79" s="438" t="n"/>
      <c r="AG79" s="438" t="n"/>
      <c r="AH79" s="438" t="n"/>
      <c r="AI79" s="438" t="n"/>
      <c r="AJ79" s="438" t="n"/>
      <c r="AK79" s="438" t="n"/>
      <c r="AL79" s="438" t="n"/>
      <c r="AM79" s="438" t="n"/>
      <c r="AN79" s="438" t="n"/>
      <c r="AO79" s="438" t="n"/>
      <c r="AP79" s="438" t="n"/>
      <c r="AQ79" s="438" t="n"/>
      <c r="AR79" s="438" t="n"/>
      <c r="AS79" s="438" t="n"/>
      <c r="AT79" s="438" t="n"/>
      <c r="AU79" s="438" t="n"/>
      <c r="AV79" s="438" t="n"/>
      <c r="AW79" s="438" t="n"/>
      <c r="AX79" s="438" t="n"/>
      <c r="AY79" s="438" t="n"/>
      <c r="AZ79" s="438" t="n"/>
      <c r="BA79" s="438" t="n"/>
      <c r="BB79" s="438" t="n"/>
      <c r="BC79" s="438" t="n"/>
      <c r="BD79" s="438" t="n"/>
      <c r="BE79" s="438" t="n"/>
      <c r="BF79" s="438" t="n"/>
      <c r="BG79" s="438" t="n"/>
      <c r="BH79" s="438" t="n"/>
      <c r="BI79" s="438" t="n"/>
      <c r="BJ79" s="438" t="n"/>
      <c r="BK79" s="438" t="n"/>
      <c r="BL79" s="438" t="n"/>
      <c r="BM79" s="438" t="n"/>
      <c r="BN79" s="438" t="n"/>
      <c r="BO79" s="438" t="n"/>
      <c r="BP79" s="438" t="n"/>
      <c r="BQ79" s="438" t="n"/>
      <c r="BR79" s="438" t="n"/>
      <c r="BS79" s="438" t="n"/>
      <c r="BT79" s="438" t="n"/>
      <c r="BU79" s="438" t="n"/>
      <c r="BV79" s="450" t="n"/>
      <c r="BW79" s="441" t="n"/>
      <c r="BX79" s="450" t="n"/>
      <c r="BY79" s="441" t="n"/>
      <c r="BZ79" s="450" t="n"/>
      <c r="CA79" s="450" t="n"/>
      <c r="CB79" s="450" t="n"/>
      <c r="CC79" s="450" t="n"/>
    </row>
    <row r="80" ht="14.25" customHeight="1" s="527">
      <c r="A80" s="520" t="n"/>
      <c r="B80" s="520" t="n"/>
      <c r="C80" s="520" t="n"/>
      <c r="D80" s="521" t="n"/>
      <c r="E80" s="438" t="n"/>
      <c r="F80" s="438" t="n"/>
      <c r="G80" s="521" t="n"/>
      <c r="H80" s="521" t="n"/>
      <c r="I80" s="521" t="n"/>
      <c r="J80" s="521" t="n"/>
      <c r="K80" s="521" t="n"/>
      <c r="L80" s="521" t="n"/>
      <c r="M80" s="521" t="n"/>
      <c r="N80" s="521" t="n"/>
      <c r="O80" s="438" t="n"/>
      <c r="P80" s="438" t="n"/>
      <c r="Q80" s="438" t="n"/>
      <c r="R80" s="438" t="n"/>
      <c r="S80" s="438" t="n"/>
      <c r="T80" s="438" t="n"/>
      <c r="U80" s="438" t="n"/>
      <c r="V80" s="438" t="n"/>
      <c r="W80" s="438" t="n"/>
      <c r="X80" s="438" t="n"/>
      <c r="Y80" s="438" t="n"/>
      <c r="Z80" s="438" t="n"/>
      <c r="AA80" s="438" t="n"/>
      <c r="AB80" s="438" t="n"/>
      <c r="AC80" s="438" t="n"/>
      <c r="AD80" s="438" t="n"/>
      <c r="AE80" s="438" t="n"/>
      <c r="AF80" s="438" t="n"/>
      <c r="AG80" s="438" t="n"/>
      <c r="AH80" s="438" t="n"/>
      <c r="AI80" s="438" t="n"/>
      <c r="AJ80" s="438" t="n"/>
      <c r="AK80" s="438" t="n"/>
      <c r="AL80" s="438" t="n"/>
      <c r="AM80" s="438" t="n"/>
      <c r="AN80" s="438" t="n"/>
      <c r="AO80" s="438" t="n"/>
      <c r="AP80" s="438" t="n"/>
      <c r="AQ80" s="438" t="n"/>
      <c r="AR80" s="438" t="n"/>
      <c r="AS80" s="438" t="n"/>
      <c r="AT80" s="438" t="n"/>
      <c r="AU80" s="438" t="n"/>
      <c r="AV80" s="438" t="n"/>
      <c r="AW80" s="438" t="n"/>
      <c r="AX80" s="438" t="n"/>
      <c r="AY80" s="438" t="n"/>
      <c r="AZ80" s="438" t="n"/>
      <c r="BA80" s="438" t="n"/>
      <c r="BB80" s="438" t="n"/>
      <c r="BC80" s="438" t="n"/>
      <c r="BD80" s="438" t="n"/>
      <c r="BE80" s="438" t="n"/>
      <c r="BF80" s="438" t="n"/>
      <c r="BG80" s="438" t="n"/>
      <c r="BH80" s="438" t="n"/>
      <c r="BI80" s="438" t="n"/>
      <c r="BJ80" s="438" t="n"/>
      <c r="BK80" s="438" t="n"/>
      <c r="BL80" s="438" t="n"/>
      <c r="BM80" s="438" t="n"/>
      <c r="BN80" s="438" t="n"/>
      <c r="BO80" s="438" t="n"/>
      <c r="BP80" s="438" t="n"/>
      <c r="BQ80" s="438" t="n"/>
      <c r="BR80" s="438" t="n"/>
      <c r="BS80" s="438" t="n"/>
      <c r="BT80" s="438" t="n"/>
      <c r="BU80" s="438" t="n"/>
      <c r="BV80" s="450" t="n"/>
      <c r="BW80" s="441" t="n"/>
      <c r="BX80" s="450" t="n"/>
      <c r="BY80" s="441" t="n"/>
      <c r="BZ80" s="450" t="n"/>
      <c r="CA80" s="450" t="n"/>
      <c r="CB80" s="450" t="n"/>
      <c r="CC80" s="450" t="n"/>
    </row>
    <row r="81" ht="14.25" customHeight="1" s="527">
      <c r="A81" s="520" t="n"/>
      <c r="B81" s="520" t="n"/>
      <c r="C81" s="520" t="n"/>
      <c r="D81" s="521" t="n"/>
      <c r="E81" s="438" t="n"/>
      <c r="F81" s="438" t="n"/>
      <c r="G81" s="521" t="n"/>
      <c r="H81" s="521" t="n"/>
      <c r="I81" s="521" t="n"/>
      <c r="J81" s="521" t="n"/>
      <c r="K81" s="521" t="n"/>
      <c r="L81" s="521" t="n"/>
      <c r="M81" s="521" t="n"/>
      <c r="N81" s="521" t="n"/>
      <c r="O81" s="438" t="n"/>
      <c r="P81" s="438" t="n"/>
      <c r="Q81" s="438" t="n"/>
      <c r="R81" s="438" t="n"/>
      <c r="S81" s="438" t="n"/>
      <c r="T81" s="438" t="n"/>
      <c r="U81" s="438" t="n"/>
      <c r="V81" s="438" t="n"/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8" t="n"/>
      <c r="AF81" s="438" t="n"/>
      <c r="AG81" s="438" t="n"/>
      <c r="AH81" s="438" t="n"/>
      <c r="AI81" s="438" t="n"/>
      <c r="AJ81" s="438" t="n"/>
      <c r="AK81" s="438" t="n"/>
      <c r="AL81" s="438" t="n"/>
      <c r="AM81" s="438" t="n"/>
      <c r="AN81" s="438" t="n"/>
      <c r="AO81" s="438" t="n"/>
      <c r="AP81" s="438" t="n"/>
      <c r="AQ81" s="438" t="n"/>
      <c r="AR81" s="438" t="n"/>
      <c r="AS81" s="438" t="n"/>
      <c r="AT81" s="438" t="n"/>
      <c r="AU81" s="438" t="n"/>
      <c r="AV81" s="438" t="n"/>
      <c r="AW81" s="438" t="n"/>
      <c r="AX81" s="438" t="n"/>
      <c r="AY81" s="438" t="n"/>
      <c r="AZ81" s="438" t="n"/>
      <c r="BA81" s="438" t="n"/>
      <c r="BB81" s="438" t="n"/>
      <c r="BC81" s="438" t="n"/>
      <c r="BD81" s="438" t="n"/>
      <c r="BE81" s="438" t="n"/>
      <c r="BF81" s="438" t="n"/>
      <c r="BG81" s="438" t="n"/>
      <c r="BH81" s="438" t="n"/>
      <c r="BI81" s="438" t="n"/>
      <c r="BJ81" s="438" t="n"/>
      <c r="BK81" s="438" t="n"/>
      <c r="BL81" s="438" t="n"/>
      <c r="BM81" s="438" t="n"/>
      <c r="BN81" s="438" t="n"/>
      <c r="BO81" s="438" t="n"/>
      <c r="BP81" s="438" t="n"/>
      <c r="BQ81" s="438" t="n"/>
      <c r="BR81" s="438" t="n"/>
      <c r="BS81" s="438" t="n"/>
      <c r="BT81" s="438" t="n"/>
      <c r="BU81" s="438" t="n"/>
      <c r="BV81" s="450" t="n"/>
      <c r="BW81" s="441" t="n"/>
      <c r="BX81" s="450" t="n"/>
      <c r="BY81" s="441" t="n"/>
      <c r="BZ81" s="450" t="n"/>
      <c r="CA81" s="450" t="n"/>
      <c r="CB81" s="450" t="n"/>
      <c r="CC81" s="450" t="n"/>
    </row>
    <row r="82" ht="14.25" customHeight="1" s="527">
      <c r="A82" s="520" t="n"/>
      <c r="B82" s="520" t="n"/>
      <c r="C82" s="520" t="n"/>
      <c r="D82" s="521" t="n"/>
      <c r="E82" s="438" t="n"/>
      <c r="F82" s="438" t="n"/>
      <c r="G82" s="521" t="n"/>
      <c r="H82" s="521" t="n"/>
      <c r="I82" s="521" t="n"/>
      <c r="J82" s="521" t="n"/>
      <c r="K82" s="521" t="n"/>
      <c r="L82" s="521" t="n"/>
      <c r="M82" s="521" t="n"/>
      <c r="N82" s="521" t="n"/>
      <c r="O82" s="438" t="n"/>
      <c r="P82" s="438" t="n"/>
      <c r="Q82" s="438" t="n"/>
      <c r="R82" s="438" t="n"/>
      <c r="S82" s="438" t="n"/>
      <c r="T82" s="438" t="n"/>
      <c r="U82" s="438" t="n"/>
      <c r="V82" s="438" t="n"/>
      <c r="W82" s="438" t="n"/>
      <c r="X82" s="438" t="n"/>
      <c r="Y82" s="438" t="n"/>
      <c r="Z82" s="438" t="n"/>
      <c r="AA82" s="438" t="n"/>
      <c r="AB82" s="438" t="n"/>
      <c r="AC82" s="438" t="n"/>
      <c r="AD82" s="438" t="n"/>
      <c r="AE82" s="438" t="n"/>
      <c r="AF82" s="438" t="n"/>
      <c r="AG82" s="438" t="n"/>
      <c r="AH82" s="438" t="n"/>
      <c r="AI82" s="438" t="n"/>
      <c r="AJ82" s="438" t="n"/>
      <c r="AK82" s="438" t="n"/>
      <c r="AL82" s="438" t="n"/>
      <c r="AM82" s="438" t="n"/>
      <c r="AN82" s="438" t="n"/>
      <c r="AO82" s="438" t="n"/>
      <c r="AP82" s="438" t="n"/>
      <c r="AQ82" s="438" t="n"/>
      <c r="AR82" s="438" t="n"/>
      <c r="AS82" s="438" t="n"/>
      <c r="AT82" s="438" t="n"/>
      <c r="AU82" s="438" t="n"/>
      <c r="AV82" s="438" t="n"/>
      <c r="AW82" s="438" t="n"/>
      <c r="AX82" s="438" t="n"/>
      <c r="AY82" s="438" t="n"/>
      <c r="AZ82" s="438" t="n"/>
      <c r="BA82" s="438" t="n"/>
      <c r="BB82" s="438" t="n"/>
      <c r="BC82" s="438" t="n"/>
      <c r="BD82" s="438" t="n"/>
      <c r="BE82" s="438" t="n"/>
      <c r="BF82" s="438" t="n"/>
      <c r="BG82" s="438" t="n"/>
      <c r="BH82" s="438" t="n"/>
      <c r="BI82" s="438" t="n"/>
      <c r="BJ82" s="438" t="n"/>
      <c r="BK82" s="438" t="n"/>
      <c r="BL82" s="438" t="n"/>
      <c r="BM82" s="438" t="n"/>
      <c r="BN82" s="438" t="n"/>
      <c r="BO82" s="438" t="n"/>
      <c r="BP82" s="438" t="n"/>
      <c r="BQ82" s="438" t="n"/>
      <c r="BR82" s="438" t="n"/>
      <c r="BS82" s="438" t="n"/>
      <c r="BT82" s="438" t="n"/>
      <c r="BU82" s="438" t="n"/>
      <c r="BV82" s="450" t="n"/>
      <c r="BW82" s="441" t="n"/>
      <c r="BX82" s="450" t="n"/>
      <c r="BY82" s="441" t="n"/>
      <c r="BZ82" s="450" t="n"/>
      <c r="CA82" s="450" t="n"/>
      <c r="CB82" s="450" t="n"/>
      <c r="CC82" s="450" t="n"/>
    </row>
    <row r="83" ht="14.25" customHeight="1" s="527">
      <c r="A83" s="520" t="n"/>
      <c r="B83" s="520" t="n"/>
      <c r="C83" s="520" t="n"/>
      <c r="D83" s="521" t="n"/>
      <c r="E83" s="438" t="n"/>
      <c r="F83" s="438" t="n"/>
      <c r="G83" s="521" t="n"/>
      <c r="H83" s="521" t="n"/>
      <c r="I83" s="521" t="n"/>
      <c r="J83" s="521" t="n"/>
      <c r="K83" s="521" t="n"/>
      <c r="L83" s="521" t="n"/>
      <c r="M83" s="521" t="n"/>
      <c r="N83" s="521" t="n"/>
      <c r="O83" s="438" t="n"/>
      <c r="P83" s="438" t="n"/>
      <c r="Q83" s="438" t="n"/>
      <c r="R83" s="438" t="n"/>
      <c r="S83" s="438" t="n"/>
      <c r="T83" s="438" t="n"/>
      <c r="U83" s="438" t="n"/>
      <c r="V83" s="438" t="n"/>
      <c r="W83" s="438" t="n"/>
      <c r="X83" s="438" t="n"/>
      <c r="Y83" s="438" t="n"/>
      <c r="Z83" s="438" t="n"/>
      <c r="AA83" s="438" t="n"/>
      <c r="AB83" s="438" t="n"/>
      <c r="AC83" s="438" t="n"/>
      <c r="AD83" s="438" t="n"/>
      <c r="AE83" s="438" t="n"/>
      <c r="AF83" s="438" t="n"/>
      <c r="AG83" s="438" t="n"/>
      <c r="AH83" s="438" t="n"/>
      <c r="AI83" s="438" t="n"/>
      <c r="AJ83" s="438" t="n"/>
      <c r="AK83" s="438" t="n"/>
      <c r="AL83" s="438" t="n"/>
      <c r="AM83" s="438" t="n"/>
      <c r="AN83" s="438" t="n"/>
      <c r="AO83" s="438" t="n"/>
      <c r="AP83" s="438" t="n"/>
      <c r="AQ83" s="438" t="n"/>
      <c r="AR83" s="438" t="n"/>
      <c r="AS83" s="438" t="n"/>
      <c r="AT83" s="438" t="n"/>
      <c r="AU83" s="438" t="n"/>
      <c r="AV83" s="438" t="n"/>
      <c r="AW83" s="438" t="n"/>
      <c r="AX83" s="438" t="n"/>
      <c r="AY83" s="438" t="n"/>
      <c r="AZ83" s="438" t="n"/>
      <c r="BA83" s="438" t="n"/>
      <c r="BB83" s="438" t="n"/>
      <c r="BC83" s="438" t="n"/>
      <c r="BD83" s="438" t="n"/>
      <c r="BE83" s="438" t="n"/>
      <c r="BF83" s="438" t="n"/>
      <c r="BG83" s="438" t="n"/>
      <c r="BH83" s="438" t="n"/>
      <c r="BI83" s="438" t="n"/>
      <c r="BJ83" s="438" t="n"/>
      <c r="BK83" s="438" t="n"/>
      <c r="BL83" s="438" t="n"/>
      <c r="BM83" s="438" t="n"/>
      <c r="BN83" s="438" t="n"/>
      <c r="BO83" s="438" t="n"/>
      <c r="BP83" s="438" t="n"/>
      <c r="BQ83" s="438" t="n"/>
      <c r="BR83" s="438" t="n"/>
      <c r="BS83" s="438" t="n"/>
      <c r="BT83" s="438" t="n"/>
      <c r="BU83" s="438" t="n"/>
      <c r="BV83" s="450" t="n"/>
      <c r="BW83" s="441" t="n"/>
      <c r="BX83" s="450" t="n"/>
      <c r="BY83" s="441" t="n"/>
      <c r="BZ83" s="450" t="n"/>
      <c r="CA83" s="450" t="n"/>
      <c r="CB83" s="450" t="n"/>
      <c r="CC83" s="450" t="n"/>
    </row>
    <row r="84" ht="14.25" customHeight="1" s="527">
      <c r="A84" s="520" t="n"/>
      <c r="B84" s="520" t="n"/>
      <c r="C84" s="520" t="n"/>
      <c r="D84" s="521" t="n"/>
      <c r="E84" s="438" t="n"/>
      <c r="F84" s="438" t="n"/>
      <c r="G84" s="521" t="n"/>
      <c r="H84" s="521" t="n"/>
      <c r="I84" s="521" t="n"/>
      <c r="J84" s="521" t="n"/>
      <c r="K84" s="521" t="n"/>
      <c r="L84" s="521" t="n"/>
      <c r="M84" s="521" t="n"/>
      <c r="N84" s="521" t="n"/>
      <c r="O84" s="438" t="n"/>
      <c r="P84" s="438" t="n"/>
      <c r="Q84" s="438" t="n"/>
      <c r="R84" s="438" t="n"/>
      <c r="S84" s="438" t="n"/>
      <c r="T84" s="438" t="n"/>
      <c r="U84" s="438" t="n"/>
      <c r="V84" s="438" t="n"/>
      <c r="W84" s="438" t="n"/>
      <c r="X84" s="438" t="n"/>
      <c r="Y84" s="438" t="n"/>
      <c r="Z84" s="438" t="n"/>
      <c r="AA84" s="438" t="n"/>
      <c r="AB84" s="438" t="n"/>
      <c r="AC84" s="438" t="n"/>
      <c r="AD84" s="438" t="n"/>
      <c r="AE84" s="438" t="n"/>
      <c r="AF84" s="438" t="n"/>
      <c r="AG84" s="438" t="n"/>
      <c r="AH84" s="438" t="n"/>
      <c r="AI84" s="438" t="n"/>
      <c r="AJ84" s="438" t="n"/>
      <c r="AK84" s="438" t="n"/>
      <c r="AL84" s="438" t="n"/>
      <c r="AM84" s="438" t="n"/>
      <c r="AN84" s="438" t="n"/>
      <c r="AO84" s="438" t="n"/>
      <c r="AP84" s="438" t="n"/>
      <c r="AQ84" s="438" t="n"/>
      <c r="AR84" s="438" t="n"/>
      <c r="AS84" s="438" t="n"/>
      <c r="AT84" s="438" t="n"/>
      <c r="AU84" s="438" t="n"/>
      <c r="AV84" s="438" t="n"/>
      <c r="AW84" s="438" t="n"/>
      <c r="AX84" s="438" t="n"/>
      <c r="AY84" s="438" t="n"/>
      <c r="AZ84" s="438" t="n"/>
      <c r="BA84" s="438" t="n"/>
      <c r="BB84" s="438" t="n"/>
      <c r="BC84" s="438" t="n"/>
      <c r="BD84" s="438" t="n"/>
      <c r="BE84" s="438" t="n"/>
      <c r="BF84" s="438" t="n"/>
      <c r="BG84" s="438" t="n"/>
      <c r="BH84" s="438" t="n"/>
      <c r="BI84" s="438" t="n"/>
      <c r="BJ84" s="438" t="n"/>
      <c r="BK84" s="438" t="n"/>
      <c r="BL84" s="438" t="n"/>
      <c r="BM84" s="438" t="n"/>
      <c r="BN84" s="438" t="n"/>
      <c r="BO84" s="438" t="n"/>
      <c r="BP84" s="438" t="n"/>
      <c r="BQ84" s="438" t="n"/>
      <c r="BR84" s="438" t="n"/>
      <c r="BS84" s="438" t="n"/>
      <c r="BT84" s="438" t="n"/>
      <c r="BU84" s="438" t="n"/>
      <c r="BV84" s="450" t="n"/>
      <c r="BW84" s="441" t="n"/>
      <c r="BX84" s="450" t="n"/>
      <c r="BY84" s="441" t="n"/>
      <c r="BZ84" s="450" t="n"/>
      <c r="CA84" s="450" t="n"/>
      <c r="CB84" s="450" t="n"/>
      <c r="CC84" s="450" t="n"/>
    </row>
    <row r="85" ht="14.25" customHeight="1" s="527">
      <c r="A85" s="520" t="n"/>
      <c r="B85" s="520" t="n"/>
      <c r="C85" s="520" t="n"/>
      <c r="D85" s="521" t="n"/>
      <c r="E85" s="438" t="n"/>
      <c r="F85" s="438" t="n"/>
      <c r="G85" s="521" t="n"/>
      <c r="H85" s="521" t="n"/>
      <c r="I85" s="521" t="n"/>
      <c r="J85" s="521" t="n"/>
      <c r="K85" s="521" t="n"/>
      <c r="L85" s="521" t="n"/>
      <c r="M85" s="521" t="n"/>
      <c r="N85" s="521" t="n"/>
      <c r="O85" s="438" t="n"/>
      <c r="P85" s="438" t="n"/>
      <c r="Q85" s="438" t="n"/>
      <c r="R85" s="438" t="n"/>
      <c r="S85" s="438" t="n"/>
      <c r="T85" s="438" t="n"/>
      <c r="U85" s="438" t="n"/>
      <c r="V85" s="438" t="n"/>
      <c r="W85" s="438" t="n"/>
      <c r="X85" s="438" t="n"/>
      <c r="Y85" s="438" t="n"/>
      <c r="Z85" s="438" t="n"/>
      <c r="AA85" s="438" t="n"/>
      <c r="AB85" s="438" t="n"/>
      <c r="AC85" s="438" t="n"/>
      <c r="AD85" s="438" t="n"/>
      <c r="AE85" s="438" t="n"/>
      <c r="AF85" s="438" t="n"/>
      <c r="AG85" s="438" t="n"/>
      <c r="AH85" s="438" t="n"/>
      <c r="AI85" s="438" t="n"/>
      <c r="AJ85" s="438" t="n"/>
      <c r="AK85" s="438" t="n"/>
      <c r="AL85" s="438" t="n"/>
      <c r="AM85" s="438" t="n"/>
      <c r="AN85" s="438" t="n"/>
      <c r="AO85" s="438" t="n"/>
      <c r="AP85" s="438" t="n"/>
      <c r="AQ85" s="438" t="n"/>
      <c r="AR85" s="438" t="n"/>
      <c r="AS85" s="438" t="n"/>
      <c r="AT85" s="438" t="n"/>
      <c r="AU85" s="438" t="n"/>
      <c r="AV85" s="438" t="n"/>
      <c r="AW85" s="438" t="n"/>
      <c r="AX85" s="438" t="n"/>
      <c r="AY85" s="438" t="n"/>
      <c r="AZ85" s="438" t="n"/>
      <c r="BA85" s="438" t="n"/>
      <c r="BB85" s="438" t="n"/>
      <c r="BC85" s="438" t="n"/>
      <c r="BD85" s="438" t="n"/>
      <c r="BE85" s="438" t="n"/>
      <c r="BF85" s="438" t="n"/>
      <c r="BG85" s="438" t="n"/>
      <c r="BH85" s="438" t="n"/>
      <c r="BI85" s="438" t="n"/>
      <c r="BJ85" s="438" t="n"/>
      <c r="BK85" s="438" t="n"/>
      <c r="BL85" s="438" t="n"/>
      <c r="BM85" s="438" t="n"/>
      <c r="BN85" s="438" t="n"/>
      <c r="BO85" s="438" t="n"/>
      <c r="BP85" s="438" t="n"/>
      <c r="BQ85" s="438" t="n"/>
      <c r="BR85" s="438" t="n"/>
      <c r="BS85" s="438" t="n"/>
      <c r="BT85" s="438" t="n"/>
      <c r="BU85" s="438" t="n"/>
      <c r="BV85" s="450" t="n"/>
      <c r="BW85" s="441" t="n"/>
      <c r="BX85" s="450" t="n"/>
      <c r="BY85" s="441" t="n"/>
      <c r="BZ85" s="450" t="n"/>
      <c r="CA85" s="450" t="n"/>
      <c r="CB85" s="450" t="n"/>
      <c r="CC85" s="450" t="n"/>
    </row>
    <row r="86" ht="14.25" customHeight="1" s="527">
      <c r="A86" s="520" t="n"/>
      <c r="B86" s="520" t="n"/>
      <c r="C86" s="520" t="n"/>
      <c r="D86" s="521" t="n"/>
      <c r="E86" s="438" t="n"/>
      <c r="F86" s="438" t="n"/>
      <c r="G86" s="521" t="n"/>
      <c r="H86" s="521" t="n"/>
      <c r="I86" s="521" t="n"/>
      <c r="J86" s="521" t="n"/>
      <c r="K86" s="521" t="n"/>
      <c r="L86" s="521" t="n"/>
      <c r="M86" s="521" t="n"/>
      <c r="N86" s="521" t="n"/>
      <c r="O86" s="438" t="n"/>
      <c r="P86" s="438" t="n"/>
      <c r="Q86" s="438" t="n"/>
      <c r="R86" s="438" t="n"/>
      <c r="S86" s="438" t="n"/>
      <c r="T86" s="438" t="n"/>
      <c r="U86" s="438" t="n"/>
      <c r="V86" s="438" t="n"/>
      <c r="W86" s="438" t="n"/>
      <c r="X86" s="438" t="n"/>
      <c r="Y86" s="438" t="n"/>
      <c r="Z86" s="438" t="n"/>
      <c r="AA86" s="438" t="n"/>
      <c r="AB86" s="438" t="n"/>
      <c r="AC86" s="438" t="n"/>
      <c r="AD86" s="438" t="n"/>
      <c r="AE86" s="438" t="n"/>
      <c r="AF86" s="438" t="n"/>
      <c r="AG86" s="438" t="n"/>
      <c r="AH86" s="438" t="n"/>
      <c r="AI86" s="438" t="n"/>
      <c r="AJ86" s="438" t="n"/>
      <c r="AK86" s="438" t="n"/>
      <c r="AL86" s="438" t="n"/>
      <c r="AM86" s="438" t="n"/>
      <c r="AN86" s="438" t="n"/>
      <c r="AO86" s="438" t="n"/>
      <c r="AP86" s="438" t="n"/>
      <c r="AQ86" s="438" t="n"/>
      <c r="AR86" s="438" t="n"/>
      <c r="AS86" s="438" t="n"/>
      <c r="AT86" s="438" t="n"/>
      <c r="AU86" s="438" t="n"/>
      <c r="AV86" s="438" t="n"/>
      <c r="AW86" s="438" t="n"/>
      <c r="AX86" s="438" t="n"/>
      <c r="AY86" s="438" t="n"/>
      <c r="AZ86" s="438" t="n"/>
      <c r="BA86" s="438" t="n"/>
      <c r="BB86" s="438" t="n"/>
      <c r="BC86" s="438" t="n"/>
      <c r="BD86" s="438" t="n"/>
      <c r="BE86" s="438" t="n"/>
      <c r="BF86" s="438" t="n"/>
      <c r="BG86" s="438" t="n"/>
      <c r="BH86" s="438" t="n"/>
      <c r="BI86" s="438" t="n"/>
      <c r="BJ86" s="438" t="n"/>
      <c r="BK86" s="438" t="n"/>
      <c r="BL86" s="438" t="n"/>
      <c r="BM86" s="438" t="n"/>
      <c r="BN86" s="438" t="n"/>
      <c r="BO86" s="438" t="n"/>
      <c r="BP86" s="438" t="n"/>
      <c r="BQ86" s="438" t="n"/>
      <c r="BR86" s="438" t="n"/>
      <c r="BS86" s="438" t="n"/>
      <c r="BT86" s="438" t="n"/>
      <c r="BU86" s="438" t="n"/>
      <c r="BV86" s="450" t="n"/>
      <c r="BW86" s="441" t="n"/>
      <c r="BX86" s="450" t="n"/>
      <c r="BY86" s="441" t="n"/>
      <c r="BZ86" s="450" t="n"/>
      <c r="CA86" s="450" t="n"/>
      <c r="CB86" s="450" t="n"/>
      <c r="CC86" s="450" t="n"/>
    </row>
    <row r="87" ht="14.25" customHeight="1" s="527">
      <c r="A87" s="520" t="n"/>
      <c r="B87" s="520" t="n"/>
      <c r="C87" s="520" t="n"/>
      <c r="D87" s="521" t="n"/>
      <c r="E87" s="438" t="n"/>
      <c r="F87" s="438" t="n"/>
      <c r="G87" s="521" t="n"/>
      <c r="H87" s="521" t="n"/>
      <c r="I87" s="521" t="n"/>
      <c r="J87" s="521" t="n"/>
      <c r="K87" s="521" t="n"/>
      <c r="L87" s="521" t="n"/>
      <c r="M87" s="521" t="n"/>
      <c r="N87" s="521" t="n"/>
      <c r="O87" s="438" t="n"/>
      <c r="P87" s="438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8" t="n"/>
      <c r="AB87" s="438" t="n"/>
      <c r="AC87" s="438" t="n"/>
      <c r="AD87" s="438" t="n"/>
      <c r="AE87" s="438" t="n"/>
      <c r="AF87" s="438" t="n"/>
      <c r="AG87" s="438" t="n"/>
      <c r="AH87" s="438" t="n"/>
      <c r="AI87" s="438" t="n"/>
      <c r="AJ87" s="438" t="n"/>
      <c r="AK87" s="438" t="n"/>
      <c r="AL87" s="438" t="n"/>
      <c r="AM87" s="438" t="n"/>
      <c r="AN87" s="438" t="n"/>
      <c r="AO87" s="438" t="n"/>
      <c r="AP87" s="438" t="n"/>
      <c r="AQ87" s="438" t="n"/>
      <c r="AR87" s="438" t="n"/>
      <c r="AS87" s="438" t="n"/>
      <c r="AT87" s="438" t="n"/>
      <c r="AU87" s="438" t="n"/>
      <c r="AV87" s="438" t="n"/>
      <c r="AW87" s="438" t="n"/>
      <c r="AX87" s="438" t="n"/>
      <c r="AY87" s="438" t="n"/>
      <c r="AZ87" s="438" t="n"/>
      <c r="BA87" s="438" t="n"/>
      <c r="BB87" s="438" t="n"/>
      <c r="BC87" s="438" t="n"/>
      <c r="BD87" s="438" t="n"/>
      <c r="BE87" s="438" t="n"/>
      <c r="BF87" s="438" t="n"/>
      <c r="BG87" s="438" t="n"/>
      <c r="BH87" s="438" t="n"/>
      <c r="BI87" s="438" t="n"/>
      <c r="BJ87" s="438" t="n"/>
      <c r="BK87" s="438" t="n"/>
      <c r="BL87" s="438" t="n"/>
      <c r="BM87" s="438" t="n"/>
      <c r="BN87" s="438" t="n"/>
      <c r="BO87" s="438" t="n"/>
      <c r="BP87" s="438" t="n"/>
      <c r="BQ87" s="438" t="n"/>
      <c r="BR87" s="438" t="n"/>
      <c r="BS87" s="438" t="n"/>
      <c r="BT87" s="438" t="n"/>
      <c r="BU87" s="438" t="n"/>
      <c r="BV87" s="450" t="n"/>
      <c r="BW87" s="441" t="n"/>
      <c r="BX87" s="450" t="n"/>
      <c r="BY87" s="441" t="n"/>
      <c r="BZ87" s="450" t="n"/>
      <c r="CA87" s="450" t="n"/>
      <c r="CB87" s="450" t="n"/>
      <c r="CC87" s="450" t="n"/>
    </row>
    <row r="88" ht="14.25" customHeight="1" s="527">
      <c r="A88" s="520" t="n"/>
      <c r="B88" s="520" t="n"/>
      <c r="C88" s="520" t="n"/>
      <c r="D88" s="521" t="n"/>
      <c r="E88" s="438" t="n"/>
      <c r="F88" s="438" t="n"/>
      <c r="G88" s="521" t="n"/>
      <c r="H88" s="521" t="n"/>
      <c r="I88" s="521" t="n"/>
      <c r="J88" s="521" t="n"/>
      <c r="K88" s="521" t="n"/>
      <c r="L88" s="521" t="n"/>
      <c r="M88" s="521" t="n"/>
      <c r="N88" s="521" t="n"/>
      <c r="O88" s="438" t="n"/>
      <c r="P88" s="438" t="n"/>
      <c r="Q88" s="438" t="n"/>
      <c r="R88" s="438" t="n"/>
      <c r="S88" s="438" t="n"/>
      <c r="T88" s="438" t="n"/>
      <c r="U88" s="438" t="n"/>
      <c r="V88" s="438" t="n"/>
      <c r="W88" s="438" t="n"/>
      <c r="X88" s="438" t="n"/>
      <c r="Y88" s="438" t="n"/>
      <c r="Z88" s="438" t="n"/>
      <c r="AA88" s="438" t="n"/>
      <c r="AB88" s="438" t="n"/>
      <c r="AC88" s="438" t="n"/>
      <c r="AD88" s="438" t="n"/>
      <c r="AE88" s="438" t="n"/>
      <c r="AF88" s="438" t="n"/>
      <c r="AG88" s="438" t="n"/>
      <c r="AH88" s="438" t="n"/>
      <c r="AI88" s="438" t="n"/>
      <c r="AJ88" s="438" t="n"/>
      <c r="AK88" s="438" t="n"/>
      <c r="AL88" s="438" t="n"/>
      <c r="AM88" s="438" t="n"/>
      <c r="AN88" s="438" t="n"/>
      <c r="AO88" s="438" t="n"/>
      <c r="AP88" s="438" t="n"/>
      <c r="AQ88" s="438" t="n"/>
      <c r="AR88" s="438" t="n"/>
      <c r="AS88" s="438" t="n"/>
      <c r="AT88" s="438" t="n"/>
      <c r="AU88" s="438" t="n"/>
      <c r="AV88" s="438" t="n"/>
      <c r="AW88" s="438" t="n"/>
      <c r="AX88" s="438" t="n"/>
      <c r="AY88" s="438" t="n"/>
      <c r="AZ88" s="438" t="n"/>
      <c r="BA88" s="438" t="n"/>
      <c r="BB88" s="438" t="n"/>
      <c r="BC88" s="438" t="n"/>
      <c r="BD88" s="438" t="n"/>
      <c r="BE88" s="438" t="n"/>
      <c r="BF88" s="438" t="n"/>
      <c r="BG88" s="438" t="n"/>
      <c r="BH88" s="438" t="n"/>
      <c r="BI88" s="438" t="n"/>
      <c r="BJ88" s="438" t="n"/>
      <c r="BK88" s="438" t="n"/>
      <c r="BL88" s="438" t="n"/>
      <c r="BM88" s="438" t="n"/>
      <c r="BN88" s="438" t="n"/>
      <c r="BO88" s="438" t="n"/>
      <c r="BP88" s="438" t="n"/>
      <c r="BQ88" s="438" t="n"/>
      <c r="BR88" s="438" t="n"/>
      <c r="BS88" s="438" t="n"/>
      <c r="BT88" s="438" t="n"/>
      <c r="BU88" s="438" t="n"/>
      <c r="BV88" s="450" t="n"/>
      <c r="BW88" s="441" t="n"/>
      <c r="BX88" s="450" t="n"/>
      <c r="BY88" s="441" t="n"/>
      <c r="BZ88" s="450" t="n"/>
      <c r="CA88" s="450" t="n"/>
      <c r="CB88" s="450" t="n"/>
      <c r="CC88" s="450" t="n"/>
    </row>
    <row r="89" ht="14.25" customHeight="1" s="527">
      <c r="A89" s="520" t="n"/>
      <c r="B89" s="520" t="n"/>
      <c r="C89" s="520" t="n"/>
      <c r="D89" s="521" t="n"/>
      <c r="E89" s="438" t="n"/>
      <c r="F89" s="438" t="n"/>
      <c r="G89" s="521" t="n"/>
      <c r="H89" s="521" t="n"/>
      <c r="I89" s="521" t="n"/>
      <c r="J89" s="521" t="n"/>
      <c r="K89" s="521" t="n"/>
      <c r="L89" s="521" t="n"/>
      <c r="M89" s="521" t="n"/>
      <c r="N89" s="521" t="n"/>
      <c r="O89" s="438" t="n"/>
      <c r="P89" s="438" t="n"/>
      <c r="Q89" s="438" t="n"/>
      <c r="R89" s="438" t="n"/>
      <c r="S89" s="438" t="n"/>
      <c r="T89" s="438" t="n"/>
      <c r="U89" s="438" t="n"/>
      <c r="V89" s="438" t="n"/>
      <c r="W89" s="438" t="n"/>
      <c r="X89" s="438" t="n"/>
      <c r="Y89" s="438" t="n"/>
      <c r="Z89" s="438" t="n"/>
      <c r="AA89" s="438" t="n"/>
      <c r="AB89" s="438" t="n"/>
      <c r="AC89" s="438" t="n"/>
      <c r="AD89" s="438" t="n"/>
      <c r="AE89" s="438" t="n"/>
      <c r="AF89" s="438" t="n"/>
      <c r="AG89" s="438" t="n"/>
      <c r="AH89" s="438" t="n"/>
      <c r="AI89" s="438" t="n"/>
      <c r="AJ89" s="438" t="n"/>
      <c r="AK89" s="438" t="n"/>
      <c r="AL89" s="438" t="n"/>
      <c r="AM89" s="438" t="n"/>
      <c r="AN89" s="438" t="n"/>
      <c r="AO89" s="438" t="n"/>
      <c r="AP89" s="438" t="n"/>
      <c r="AQ89" s="438" t="n"/>
      <c r="AR89" s="438" t="n"/>
      <c r="AS89" s="438" t="n"/>
      <c r="AT89" s="438" t="n"/>
      <c r="AU89" s="438" t="n"/>
      <c r="AV89" s="438" t="n"/>
      <c r="AW89" s="438" t="n"/>
      <c r="AX89" s="438" t="n"/>
      <c r="AY89" s="438" t="n"/>
      <c r="AZ89" s="438" t="n"/>
      <c r="BA89" s="438" t="n"/>
      <c r="BB89" s="438" t="n"/>
      <c r="BC89" s="438" t="n"/>
      <c r="BD89" s="438" t="n"/>
      <c r="BE89" s="438" t="n"/>
      <c r="BF89" s="438" t="n"/>
      <c r="BG89" s="438" t="n"/>
      <c r="BH89" s="438" t="n"/>
      <c r="BI89" s="438" t="n"/>
      <c r="BJ89" s="438" t="n"/>
      <c r="BK89" s="438" t="n"/>
      <c r="BL89" s="438" t="n"/>
      <c r="BM89" s="438" t="n"/>
      <c r="BN89" s="438" t="n"/>
      <c r="BO89" s="438" t="n"/>
      <c r="BP89" s="438" t="n"/>
      <c r="BQ89" s="438" t="n"/>
      <c r="BR89" s="438" t="n"/>
      <c r="BS89" s="438" t="n"/>
      <c r="BT89" s="438" t="n"/>
      <c r="BU89" s="438" t="n"/>
      <c r="BV89" s="450" t="n"/>
      <c r="BW89" s="441" t="n"/>
      <c r="BX89" s="450" t="n"/>
      <c r="BY89" s="441" t="n"/>
      <c r="BZ89" s="450" t="n"/>
      <c r="CA89" s="450" t="n"/>
      <c r="CB89" s="450" t="n"/>
      <c r="CC89" s="450" t="n"/>
    </row>
    <row r="90" ht="14.25" customHeight="1" s="527">
      <c r="A90" s="520" t="n"/>
      <c r="B90" s="520" t="n"/>
      <c r="C90" s="520" t="n"/>
      <c r="D90" s="521" t="n"/>
      <c r="E90" s="438" t="n"/>
      <c r="F90" s="438" t="n"/>
      <c r="G90" s="521" t="n"/>
      <c r="H90" s="521" t="n"/>
      <c r="I90" s="521" t="n"/>
      <c r="J90" s="521" t="n"/>
      <c r="K90" s="521" t="n"/>
      <c r="L90" s="521" t="n"/>
      <c r="M90" s="521" t="n"/>
      <c r="N90" s="521" t="n"/>
      <c r="O90" s="438" t="n"/>
      <c r="P90" s="438" t="n"/>
      <c r="Q90" s="438" t="n"/>
      <c r="R90" s="438" t="n"/>
      <c r="S90" s="438" t="n"/>
      <c r="T90" s="438" t="n"/>
      <c r="U90" s="438" t="n"/>
      <c r="V90" s="438" t="n"/>
      <c r="W90" s="438" t="n"/>
      <c r="X90" s="438" t="n"/>
      <c r="Y90" s="438" t="n"/>
      <c r="Z90" s="438" t="n"/>
      <c r="AA90" s="438" t="n"/>
      <c r="AB90" s="438" t="n"/>
      <c r="AC90" s="438" t="n"/>
      <c r="AD90" s="438" t="n"/>
      <c r="AE90" s="438" t="n"/>
      <c r="AF90" s="438" t="n"/>
      <c r="AG90" s="438" t="n"/>
      <c r="AH90" s="438" t="n"/>
      <c r="AI90" s="438" t="n"/>
      <c r="AJ90" s="438" t="n"/>
      <c r="AK90" s="438" t="n"/>
      <c r="AL90" s="438" t="n"/>
      <c r="AM90" s="438" t="n"/>
      <c r="AN90" s="438" t="n"/>
      <c r="AO90" s="438" t="n"/>
      <c r="AP90" s="438" t="n"/>
      <c r="AQ90" s="438" t="n"/>
      <c r="AR90" s="438" t="n"/>
      <c r="AS90" s="438" t="n"/>
      <c r="AT90" s="438" t="n"/>
      <c r="AU90" s="438" t="n"/>
      <c r="AV90" s="438" t="n"/>
      <c r="AW90" s="438" t="n"/>
      <c r="AX90" s="438" t="n"/>
      <c r="AY90" s="438" t="n"/>
      <c r="AZ90" s="438" t="n"/>
      <c r="BA90" s="438" t="n"/>
      <c r="BB90" s="438" t="n"/>
      <c r="BC90" s="438" t="n"/>
      <c r="BD90" s="438" t="n"/>
      <c r="BE90" s="438" t="n"/>
      <c r="BF90" s="438" t="n"/>
      <c r="BG90" s="438" t="n"/>
      <c r="BH90" s="438" t="n"/>
      <c r="BI90" s="438" t="n"/>
      <c r="BJ90" s="438" t="n"/>
      <c r="BK90" s="438" t="n"/>
      <c r="BL90" s="438" t="n"/>
      <c r="BM90" s="438" t="n"/>
      <c r="BN90" s="438" t="n"/>
      <c r="BO90" s="438" t="n"/>
      <c r="BP90" s="438" t="n"/>
      <c r="BQ90" s="438" t="n"/>
      <c r="BR90" s="438" t="n"/>
      <c r="BS90" s="438" t="n"/>
      <c r="BT90" s="438" t="n"/>
      <c r="BU90" s="438" t="n"/>
      <c r="BV90" s="450" t="n"/>
      <c r="BW90" s="441" t="n"/>
      <c r="BX90" s="450" t="n"/>
      <c r="BY90" s="441" t="n"/>
      <c r="BZ90" s="450" t="n"/>
      <c r="CA90" s="450" t="n"/>
      <c r="CB90" s="450" t="n"/>
      <c r="CC90" s="450" t="n"/>
    </row>
    <row r="91" ht="14.25" customHeight="1" s="527">
      <c r="A91" s="520" t="n"/>
      <c r="B91" s="520" t="n"/>
      <c r="C91" s="520" t="n"/>
      <c r="D91" s="521" t="n"/>
      <c r="E91" s="438" t="n"/>
      <c r="F91" s="438" t="n"/>
      <c r="G91" s="521" t="n"/>
      <c r="H91" s="521" t="n"/>
      <c r="I91" s="521" t="n"/>
      <c r="J91" s="521" t="n"/>
      <c r="K91" s="521" t="n"/>
      <c r="L91" s="521" t="n"/>
      <c r="M91" s="521" t="n"/>
      <c r="N91" s="521" t="n"/>
      <c r="O91" s="438" t="n"/>
      <c r="P91" s="438" t="n"/>
      <c r="Q91" s="438" t="n"/>
      <c r="R91" s="438" t="n"/>
      <c r="S91" s="438" t="n"/>
      <c r="T91" s="438" t="n"/>
      <c r="U91" s="438" t="n"/>
      <c r="V91" s="438" t="n"/>
      <c r="W91" s="438" t="n"/>
      <c r="X91" s="438" t="n"/>
      <c r="Y91" s="438" t="n"/>
      <c r="Z91" s="438" t="n"/>
      <c r="AA91" s="438" t="n"/>
      <c r="AB91" s="438" t="n"/>
      <c r="AC91" s="438" t="n"/>
      <c r="AD91" s="438" t="n"/>
      <c r="AE91" s="438" t="n"/>
      <c r="AF91" s="438" t="n"/>
      <c r="AG91" s="438" t="n"/>
      <c r="AH91" s="438" t="n"/>
      <c r="AI91" s="438" t="n"/>
      <c r="AJ91" s="438" t="n"/>
      <c r="AK91" s="438" t="n"/>
      <c r="AL91" s="438" t="n"/>
      <c r="AM91" s="438" t="n"/>
      <c r="AN91" s="438" t="n"/>
      <c r="AO91" s="438" t="n"/>
      <c r="AP91" s="438" t="n"/>
      <c r="AQ91" s="438" t="n"/>
      <c r="AR91" s="438" t="n"/>
      <c r="AS91" s="438" t="n"/>
      <c r="AT91" s="438" t="n"/>
      <c r="AU91" s="438" t="n"/>
      <c r="AV91" s="438" t="n"/>
      <c r="AW91" s="438" t="n"/>
      <c r="AX91" s="438" t="n"/>
      <c r="AY91" s="438" t="n"/>
      <c r="AZ91" s="438" t="n"/>
      <c r="BA91" s="438" t="n"/>
      <c r="BB91" s="438" t="n"/>
      <c r="BC91" s="438" t="n"/>
      <c r="BD91" s="438" t="n"/>
      <c r="BE91" s="438" t="n"/>
      <c r="BF91" s="438" t="n"/>
      <c r="BG91" s="438" t="n"/>
      <c r="BH91" s="438" t="n"/>
      <c r="BI91" s="438" t="n"/>
      <c r="BJ91" s="438" t="n"/>
      <c r="BK91" s="438" t="n"/>
      <c r="BL91" s="438" t="n"/>
      <c r="BM91" s="438" t="n"/>
      <c r="BN91" s="438" t="n"/>
      <c r="BO91" s="438" t="n"/>
      <c r="BP91" s="438" t="n"/>
      <c r="BQ91" s="438" t="n"/>
      <c r="BR91" s="438" t="n"/>
      <c r="BS91" s="438" t="n"/>
      <c r="BT91" s="438" t="n"/>
      <c r="BU91" s="438" t="n"/>
      <c r="BV91" s="450" t="n"/>
      <c r="BW91" s="441" t="n"/>
      <c r="BX91" s="450" t="n"/>
      <c r="BY91" s="441" t="n"/>
      <c r="BZ91" s="450" t="n"/>
      <c r="CA91" s="450" t="n"/>
      <c r="CB91" s="450" t="n"/>
      <c r="CC91" s="450" t="n"/>
    </row>
    <row r="92" ht="14.25" customHeight="1" s="527">
      <c r="A92" s="520" t="n"/>
      <c r="B92" s="520" t="n"/>
      <c r="C92" s="520" t="n"/>
      <c r="D92" s="521" t="n"/>
      <c r="E92" s="438" t="n"/>
      <c r="F92" s="438" t="n"/>
      <c r="G92" s="521" t="n"/>
      <c r="H92" s="521" t="n"/>
      <c r="I92" s="521" t="n"/>
      <c r="J92" s="521" t="n"/>
      <c r="K92" s="521" t="n"/>
      <c r="L92" s="521" t="n"/>
      <c r="M92" s="521" t="n"/>
      <c r="N92" s="521" t="n"/>
      <c r="O92" s="438" t="n"/>
      <c r="P92" s="438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8" t="n"/>
      <c r="AB92" s="438" t="n"/>
      <c r="AC92" s="438" t="n"/>
      <c r="AD92" s="438" t="n"/>
      <c r="AE92" s="438" t="n"/>
      <c r="AF92" s="438" t="n"/>
      <c r="AG92" s="438" t="n"/>
      <c r="AH92" s="438" t="n"/>
      <c r="AI92" s="438" t="n"/>
      <c r="AJ92" s="438" t="n"/>
      <c r="AK92" s="438" t="n"/>
      <c r="AL92" s="438" t="n"/>
      <c r="AM92" s="438" t="n"/>
      <c r="AN92" s="438" t="n"/>
      <c r="AO92" s="438" t="n"/>
      <c r="AP92" s="438" t="n"/>
      <c r="AQ92" s="438" t="n"/>
      <c r="AR92" s="438" t="n"/>
      <c r="AS92" s="438" t="n"/>
      <c r="AT92" s="438" t="n"/>
      <c r="AU92" s="438" t="n"/>
      <c r="AV92" s="438" t="n"/>
      <c r="AW92" s="438" t="n"/>
      <c r="AX92" s="438" t="n"/>
      <c r="AY92" s="438" t="n"/>
      <c r="AZ92" s="438" t="n"/>
      <c r="BA92" s="438" t="n"/>
      <c r="BB92" s="438" t="n"/>
      <c r="BC92" s="438" t="n"/>
      <c r="BD92" s="438" t="n"/>
      <c r="BE92" s="438" t="n"/>
      <c r="BF92" s="438" t="n"/>
      <c r="BG92" s="438" t="n"/>
      <c r="BH92" s="438" t="n"/>
      <c r="BI92" s="438" t="n"/>
      <c r="BJ92" s="438" t="n"/>
      <c r="BK92" s="438" t="n"/>
      <c r="BL92" s="438" t="n"/>
      <c r="BM92" s="438" t="n"/>
      <c r="BN92" s="438" t="n"/>
      <c r="BO92" s="438" t="n"/>
      <c r="BP92" s="438" t="n"/>
      <c r="BQ92" s="438" t="n"/>
      <c r="BR92" s="438" t="n"/>
      <c r="BS92" s="438" t="n"/>
      <c r="BT92" s="438" t="n"/>
      <c r="BU92" s="438" t="n"/>
      <c r="BV92" s="450" t="n"/>
      <c r="BW92" s="441" t="n"/>
      <c r="BX92" s="450" t="n"/>
      <c r="BY92" s="441" t="n"/>
      <c r="BZ92" s="450" t="n"/>
      <c r="CA92" s="450" t="n"/>
      <c r="CB92" s="450" t="n"/>
      <c r="CC92" s="450" t="n"/>
    </row>
    <row r="93" ht="14.25" customHeight="1" s="527">
      <c r="A93" s="520" t="n"/>
      <c r="B93" s="520" t="n"/>
      <c r="C93" s="520" t="n"/>
      <c r="D93" s="521" t="n"/>
      <c r="E93" s="438" t="n"/>
      <c r="F93" s="438" t="n"/>
      <c r="G93" s="521" t="n"/>
      <c r="H93" s="521" t="n"/>
      <c r="I93" s="521" t="n"/>
      <c r="J93" s="521" t="n"/>
      <c r="K93" s="521" t="n"/>
      <c r="L93" s="521" t="n"/>
      <c r="M93" s="521" t="n"/>
      <c r="N93" s="521" t="n"/>
      <c r="O93" s="438" t="n"/>
      <c r="P93" s="438" t="n"/>
      <c r="Q93" s="438" t="n"/>
      <c r="R93" s="438" t="n"/>
      <c r="S93" s="438" t="n"/>
      <c r="T93" s="438" t="n"/>
      <c r="U93" s="438" t="n"/>
      <c r="V93" s="438" t="n"/>
      <c r="W93" s="438" t="n"/>
      <c r="X93" s="438" t="n"/>
      <c r="Y93" s="438" t="n"/>
      <c r="Z93" s="438" t="n"/>
      <c r="AA93" s="438" t="n"/>
      <c r="AB93" s="438" t="n"/>
      <c r="AC93" s="438" t="n"/>
      <c r="AD93" s="438" t="n"/>
      <c r="AE93" s="438" t="n"/>
      <c r="AF93" s="438" t="n"/>
      <c r="AG93" s="438" t="n"/>
      <c r="AH93" s="438" t="n"/>
      <c r="AI93" s="438" t="n"/>
      <c r="AJ93" s="438" t="n"/>
      <c r="AK93" s="438" t="n"/>
      <c r="AL93" s="438" t="n"/>
      <c r="AM93" s="438" t="n"/>
      <c r="AN93" s="438" t="n"/>
      <c r="AO93" s="438" t="n"/>
      <c r="AP93" s="438" t="n"/>
      <c r="AQ93" s="438" t="n"/>
      <c r="AR93" s="438" t="n"/>
      <c r="AS93" s="438" t="n"/>
      <c r="AT93" s="438" t="n"/>
      <c r="AU93" s="438" t="n"/>
      <c r="AV93" s="438" t="n"/>
      <c r="AW93" s="438" t="n"/>
      <c r="AX93" s="438" t="n"/>
      <c r="AY93" s="438" t="n"/>
      <c r="AZ93" s="438" t="n"/>
      <c r="BA93" s="438" t="n"/>
      <c r="BB93" s="438" t="n"/>
      <c r="BC93" s="438" t="n"/>
      <c r="BD93" s="438" t="n"/>
      <c r="BE93" s="438" t="n"/>
      <c r="BF93" s="438" t="n"/>
      <c r="BG93" s="438" t="n"/>
      <c r="BH93" s="438" t="n"/>
      <c r="BI93" s="438" t="n"/>
      <c r="BJ93" s="438" t="n"/>
      <c r="BK93" s="438" t="n"/>
      <c r="BL93" s="438" t="n"/>
      <c r="BM93" s="438" t="n"/>
      <c r="BN93" s="438" t="n"/>
      <c r="BO93" s="438" t="n"/>
      <c r="BP93" s="438" t="n"/>
      <c r="BQ93" s="438" t="n"/>
      <c r="BR93" s="438" t="n"/>
      <c r="BS93" s="438" t="n"/>
      <c r="BT93" s="438" t="n"/>
      <c r="BU93" s="438" t="n"/>
      <c r="BV93" s="450" t="n"/>
      <c r="BW93" s="441" t="n"/>
      <c r="BX93" s="450" t="n"/>
      <c r="BY93" s="441" t="n"/>
      <c r="BZ93" s="450" t="n"/>
      <c r="CA93" s="450" t="n"/>
      <c r="CB93" s="450" t="n"/>
      <c r="CC93" s="450" t="n"/>
    </row>
    <row r="94" ht="14.25" customHeight="1" s="527">
      <c r="A94" s="520" t="n"/>
      <c r="B94" s="520" t="n"/>
      <c r="C94" s="520" t="n"/>
      <c r="D94" s="521" t="n"/>
      <c r="E94" s="438" t="n"/>
      <c r="F94" s="438" t="n"/>
      <c r="G94" s="521" t="n"/>
      <c r="H94" s="521" t="n"/>
      <c r="I94" s="521" t="n"/>
      <c r="J94" s="521" t="n"/>
      <c r="K94" s="521" t="n"/>
      <c r="L94" s="521" t="n"/>
      <c r="M94" s="521" t="n"/>
      <c r="N94" s="521" t="n"/>
      <c r="O94" s="438" t="n"/>
      <c r="P94" s="438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8" t="n"/>
      <c r="AB94" s="438" t="n"/>
      <c r="AC94" s="438" t="n"/>
      <c r="AD94" s="438" t="n"/>
      <c r="AE94" s="438" t="n"/>
      <c r="AF94" s="438" t="n"/>
      <c r="AG94" s="438" t="n"/>
      <c r="AH94" s="438" t="n"/>
      <c r="AI94" s="438" t="n"/>
      <c r="AJ94" s="438" t="n"/>
      <c r="AK94" s="438" t="n"/>
      <c r="AL94" s="438" t="n"/>
      <c r="AM94" s="438" t="n"/>
      <c r="AN94" s="438" t="n"/>
      <c r="AO94" s="438" t="n"/>
      <c r="AP94" s="438" t="n"/>
      <c r="AQ94" s="438" t="n"/>
      <c r="AR94" s="438" t="n"/>
      <c r="AS94" s="438" t="n"/>
      <c r="AT94" s="438" t="n"/>
      <c r="AU94" s="438" t="n"/>
      <c r="AV94" s="438" t="n"/>
      <c r="AW94" s="438" t="n"/>
      <c r="AX94" s="438" t="n"/>
      <c r="AY94" s="438" t="n"/>
      <c r="AZ94" s="438" t="n"/>
      <c r="BA94" s="438" t="n"/>
      <c r="BB94" s="438" t="n"/>
      <c r="BC94" s="438" t="n"/>
      <c r="BD94" s="438" t="n"/>
      <c r="BE94" s="438" t="n"/>
      <c r="BF94" s="438" t="n"/>
      <c r="BG94" s="438" t="n"/>
      <c r="BH94" s="438" t="n"/>
      <c r="BI94" s="438" t="n"/>
      <c r="BJ94" s="438" t="n"/>
      <c r="BK94" s="438" t="n"/>
      <c r="BL94" s="438" t="n"/>
      <c r="BM94" s="438" t="n"/>
      <c r="BN94" s="438" t="n"/>
      <c r="BO94" s="438" t="n"/>
      <c r="BP94" s="438" t="n"/>
      <c r="BQ94" s="438" t="n"/>
      <c r="BR94" s="438" t="n"/>
      <c r="BS94" s="438" t="n"/>
      <c r="BT94" s="438" t="n"/>
      <c r="BU94" s="438" t="n"/>
      <c r="BV94" s="450" t="n"/>
      <c r="BW94" s="441" t="n"/>
      <c r="BX94" s="450" t="n"/>
      <c r="BY94" s="441" t="n"/>
      <c r="BZ94" s="450" t="n"/>
      <c r="CA94" s="450" t="n"/>
      <c r="CB94" s="450" t="n"/>
      <c r="CC94" s="450" t="n"/>
    </row>
    <row r="95" ht="14.25" customHeight="1" s="527">
      <c r="A95" s="520" t="n"/>
      <c r="B95" s="520" t="n"/>
      <c r="C95" s="520" t="n"/>
      <c r="D95" s="521" t="n"/>
      <c r="E95" s="438" t="n"/>
      <c r="F95" s="438" t="n"/>
      <c r="G95" s="521" t="n"/>
      <c r="H95" s="521" t="n"/>
      <c r="I95" s="521" t="n"/>
      <c r="J95" s="521" t="n"/>
      <c r="K95" s="521" t="n"/>
      <c r="L95" s="521" t="n"/>
      <c r="M95" s="521" t="n"/>
      <c r="N95" s="521" t="n"/>
      <c r="O95" s="438" t="n"/>
      <c r="P95" s="438" t="n"/>
      <c r="Q95" s="438" t="n"/>
      <c r="R95" s="438" t="n"/>
      <c r="S95" s="438" t="n"/>
      <c r="T95" s="438" t="n"/>
      <c r="U95" s="438" t="n"/>
      <c r="V95" s="438" t="n"/>
      <c r="W95" s="438" t="n"/>
      <c r="X95" s="438" t="n"/>
      <c r="Y95" s="438" t="n"/>
      <c r="Z95" s="438" t="n"/>
      <c r="AA95" s="438" t="n"/>
      <c r="AB95" s="438" t="n"/>
      <c r="AC95" s="438" t="n"/>
      <c r="AD95" s="438" t="n"/>
      <c r="AE95" s="438" t="n"/>
      <c r="AF95" s="438" t="n"/>
      <c r="AG95" s="438" t="n"/>
      <c r="AH95" s="438" t="n"/>
      <c r="AI95" s="438" t="n"/>
      <c r="AJ95" s="438" t="n"/>
      <c r="AK95" s="438" t="n"/>
      <c r="AL95" s="438" t="n"/>
      <c r="AM95" s="438" t="n"/>
      <c r="AN95" s="438" t="n"/>
      <c r="AO95" s="438" t="n"/>
      <c r="AP95" s="438" t="n"/>
      <c r="AQ95" s="438" t="n"/>
      <c r="AR95" s="438" t="n"/>
      <c r="AS95" s="438" t="n"/>
      <c r="AT95" s="438" t="n"/>
      <c r="AU95" s="438" t="n"/>
      <c r="AV95" s="438" t="n"/>
      <c r="AW95" s="438" t="n"/>
      <c r="AX95" s="438" t="n"/>
      <c r="AY95" s="438" t="n"/>
      <c r="AZ95" s="438" t="n"/>
      <c r="BA95" s="438" t="n"/>
      <c r="BB95" s="438" t="n"/>
      <c r="BC95" s="438" t="n"/>
      <c r="BD95" s="438" t="n"/>
      <c r="BE95" s="438" t="n"/>
      <c r="BF95" s="438" t="n"/>
      <c r="BG95" s="438" t="n"/>
      <c r="BH95" s="438" t="n"/>
      <c r="BI95" s="438" t="n"/>
      <c r="BJ95" s="438" t="n"/>
      <c r="BK95" s="438" t="n"/>
      <c r="BL95" s="438" t="n"/>
      <c r="BM95" s="438" t="n"/>
      <c r="BN95" s="438" t="n"/>
      <c r="BO95" s="438" t="n"/>
      <c r="BP95" s="438" t="n"/>
      <c r="BQ95" s="438" t="n"/>
      <c r="BR95" s="438" t="n"/>
      <c r="BS95" s="438" t="n"/>
      <c r="BT95" s="438" t="n"/>
      <c r="BU95" s="438" t="n"/>
      <c r="BV95" s="450" t="n"/>
      <c r="BW95" s="441" t="n"/>
      <c r="BX95" s="450" t="n"/>
      <c r="BY95" s="441" t="n"/>
      <c r="BZ95" s="450" t="n"/>
      <c r="CA95" s="450" t="n"/>
      <c r="CB95" s="450" t="n"/>
      <c r="CC95" s="450" t="n"/>
    </row>
    <row r="96" ht="14.25" customHeight="1" s="527">
      <c r="A96" s="520" t="n"/>
      <c r="B96" s="520" t="n"/>
      <c r="C96" s="520" t="n"/>
      <c r="D96" s="521" t="n"/>
      <c r="E96" s="438" t="n"/>
      <c r="F96" s="438" t="n"/>
      <c r="G96" s="521" t="n"/>
      <c r="H96" s="521" t="n"/>
      <c r="I96" s="521" t="n"/>
      <c r="J96" s="521" t="n"/>
      <c r="K96" s="521" t="n"/>
      <c r="L96" s="521" t="n"/>
      <c r="M96" s="521" t="n"/>
      <c r="N96" s="521" t="n"/>
      <c r="O96" s="438" t="n"/>
      <c r="P96" s="438" t="n"/>
      <c r="Q96" s="438" t="n"/>
      <c r="R96" s="438" t="n"/>
      <c r="S96" s="438" t="n"/>
      <c r="T96" s="438" t="n"/>
      <c r="U96" s="438" t="n"/>
      <c r="V96" s="438" t="n"/>
      <c r="W96" s="438" t="n"/>
      <c r="X96" s="438" t="n"/>
      <c r="Y96" s="438" t="n"/>
      <c r="Z96" s="438" t="n"/>
      <c r="AA96" s="438" t="n"/>
      <c r="AB96" s="438" t="n"/>
      <c r="AC96" s="438" t="n"/>
      <c r="AD96" s="438" t="n"/>
      <c r="AE96" s="438" t="n"/>
      <c r="AF96" s="438" t="n"/>
      <c r="AG96" s="438" t="n"/>
      <c r="AH96" s="438" t="n"/>
      <c r="AI96" s="438" t="n"/>
      <c r="AJ96" s="438" t="n"/>
      <c r="AK96" s="438" t="n"/>
      <c r="AL96" s="438" t="n"/>
      <c r="AM96" s="438" t="n"/>
      <c r="AN96" s="438" t="n"/>
      <c r="AO96" s="438" t="n"/>
      <c r="AP96" s="438" t="n"/>
      <c r="AQ96" s="438" t="n"/>
      <c r="AR96" s="438" t="n"/>
      <c r="AS96" s="438" t="n"/>
      <c r="AT96" s="438" t="n"/>
      <c r="AU96" s="438" t="n"/>
      <c r="AV96" s="438" t="n"/>
      <c r="AW96" s="438" t="n"/>
      <c r="AX96" s="438" t="n"/>
      <c r="AY96" s="438" t="n"/>
      <c r="AZ96" s="438" t="n"/>
      <c r="BA96" s="438" t="n"/>
      <c r="BB96" s="438" t="n"/>
      <c r="BC96" s="438" t="n"/>
      <c r="BD96" s="438" t="n"/>
      <c r="BE96" s="438" t="n"/>
      <c r="BF96" s="438" t="n"/>
      <c r="BG96" s="438" t="n"/>
      <c r="BH96" s="438" t="n"/>
      <c r="BI96" s="438" t="n"/>
      <c r="BJ96" s="438" t="n"/>
      <c r="BK96" s="438" t="n"/>
      <c r="BL96" s="438" t="n"/>
      <c r="BM96" s="438" t="n"/>
      <c r="BN96" s="438" t="n"/>
      <c r="BO96" s="438" t="n"/>
      <c r="BP96" s="438" t="n"/>
      <c r="BQ96" s="438" t="n"/>
      <c r="BR96" s="438" t="n"/>
      <c r="BS96" s="438" t="n"/>
      <c r="BT96" s="438" t="n"/>
      <c r="BU96" s="438" t="n"/>
      <c r="BV96" s="450" t="n"/>
      <c r="BW96" s="441" t="n"/>
      <c r="BX96" s="450" t="n"/>
      <c r="BY96" s="441" t="n"/>
      <c r="BZ96" s="450" t="n"/>
      <c r="CA96" s="450" t="n"/>
      <c r="CB96" s="450" t="n"/>
      <c r="CC96" s="450" t="n"/>
    </row>
    <row r="97" ht="14.25" customHeight="1" s="527">
      <c r="A97" s="520" t="n"/>
      <c r="B97" s="520" t="n"/>
      <c r="C97" s="520" t="n"/>
      <c r="D97" s="521" t="n"/>
      <c r="E97" s="438" t="n"/>
      <c r="F97" s="438" t="n"/>
      <c r="G97" s="521" t="n"/>
      <c r="H97" s="521" t="n"/>
      <c r="I97" s="521" t="n"/>
      <c r="J97" s="521" t="n"/>
      <c r="K97" s="521" t="n"/>
      <c r="L97" s="521" t="n"/>
      <c r="M97" s="521" t="n"/>
      <c r="N97" s="521" t="n"/>
      <c r="O97" s="438" t="n"/>
      <c r="P97" s="438" t="n"/>
      <c r="Q97" s="438" t="n"/>
      <c r="R97" s="438" t="n"/>
      <c r="S97" s="438" t="n"/>
      <c r="T97" s="438" t="n"/>
      <c r="U97" s="438" t="n"/>
      <c r="V97" s="438" t="n"/>
      <c r="W97" s="438" t="n"/>
      <c r="X97" s="438" t="n"/>
      <c r="Y97" s="438" t="n"/>
      <c r="Z97" s="438" t="n"/>
      <c r="AA97" s="438" t="n"/>
      <c r="AB97" s="438" t="n"/>
      <c r="AC97" s="438" t="n"/>
      <c r="AD97" s="438" t="n"/>
      <c r="AE97" s="438" t="n"/>
      <c r="AF97" s="438" t="n"/>
      <c r="AG97" s="438" t="n"/>
      <c r="AH97" s="438" t="n"/>
      <c r="AI97" s="438" t="n"/>
      <c r="AJ97" s="438" t="n"/>
      <c r="AK97" s="438" t="n"/>
      <c r="AL97" s="438" t="n"/>
      <c r="AM97" s="438" t="n"/>
      <c r="AN97" s="438" t="n"/>
      <c r="AO97" s="438" t="n"/>
      <c r="AP97" s="438" t="n"/>
      <c r="AQ97" s="438" t="n"/>
      <c r="AR97" s="438" t="n"/>
      <c r="AS97" s="438" t="n"/>
      <c r="AT97" s="438" t="n"/>
      <c r="AU97" s="438" t="n"/>
      <c r="AV97" s="438" t="n"/>
      <c r="AW97" s="438" t="n"/>
      <c r="AX97" s="438" t="n"/>
      <c r="AY97" s="438" t="n"/>
      <c r="AZ97" s="438" t="n"/>
      <c r="BA97" s="438" t="n"/>
      <c r="BB97" s="438" t="n"/>
      <c r="BC97" s="438" t="n"/>
      <c r="BD97" s="438" t="n"/>
      <c r="BE97" s="438" t="n"/>
      <c r="BF97" s="438" t="n"/>
      <c r="BG97" s="438" t="n"/>
      <c r="BH97" s="438" t="n"/>
      <c r="BI97" s="438" t="n"/>
      <c r="BJ97" s="438" t="n"/>
      <c r="BK97" s="438" t="n"/>
      <c r="BL97" s="438" t="n"/>
      <c r="BM97" s="438" t="n"/>
      <c r="BN97" s="438" t="n"/>
      <c r="BO97" s="438" t="n"/>
      <c r="BP97" s="438" t="n"/>
      <c r="BQ97" s="438" t="n"/>
      <c r="BR97" s="438" t="n"/>
      <c r="BS97" s="438" t="n"/>
      <c r="BT97" s="438" t="n"/>
      <c r="BU97" s="438" t="n"/>
      <c r="BV97" s="450" t="n"/>
      <c r="BW97" s="441" t="n"/>
      <c r="BX97" s="450" t="n"/>
      <c r="BY97" s="441" t="n"/>
      <c r="BZ97" s="450" t="n"/>
      <c r="CA97" s="450" t="n"/>
      <c r="CB97" s="450" t="n"/>
      <c r="CC97" s="450" t="n"/>
    </row>
    <row r="98" ht="14.25" customHeight="1" s="527">
      <c r="A98" s="520" t="n"/>
      <c r="B98" s="520" t="n"/>
      <c r="C98" s="520" t="n"/>
      <c r="D98" s="521" t="n"/>
      <c r="E98" s="438" t="n"/>
      <c r="F98" s="438" t="n"/>
      <c r="G98" s="521" t="n"/>
      <c r="H98" s="521" t="n"/>
      <c r="I98" s="521" t="n"/>
      <c r="J98" s="521" t="n"/>
      <c r="K98" s="521" t="n"/>
      <c r="L98" s="521" t="n"/>
      <c r="M98" s="521" t="n"/>
      <c r="N98" s="521" t="n"/>
      <c r="O98" s="438" t="n"/>
      <c r="P98" s="438" t="n"/>
      <c r="Q98" s="438" t="n"/>
      <c r="R98" s="438" t="n"/>
      <c r="S98" s="438" t="n"/>
      <c r="T98" s="438" t="n"/>
      <c r="U98" s="438" t="n"/>
      <c r="V98" s="438" t="n"/>
      <c r="W98" s="438" t="n"/>
      <c r="X98" s="438" t="n"/>
      <c r="Y98" s="438" t="n"/>
      <c r="Z98" s="438" t="n"/>
      <c r="AA98" s="438" t="n"/>
      <c r="AB98" s="438" t="n"/>
      <c r="AC98" s="438" t="n"/>
      <c r="AD98" s="438" t="n"/>
      <c r="AE98" s="438" t="n"/>
      <c r="AF98" s="438" t="n"/>
      <c r="AG98" s="438" t="n"/>
      <c r="AH98" s="438" t="n"/>
      <c r="AI98" s="438" t="n"/>
      <c r="AJ98" s="438" t="n"/>
      <c r="AK98" s="438" t="n"/>
      <c r="AL98" s="438" t="n"/>
      <c r="AM98" s="438" t="n"/>
      <c r="AN98" s="438" t="n"/>
      <c r="AO98" s="438" t="n"/>
      <c r="AP98" s="438" t="n"/>
      <c r="AQ98" s="438" t="n"/>
      <c r="AR98" s="438" t="n"/>
      <c r="AS98" s="438" t="n"/>
      <c r="AT98" s="438" t="n"/>
      <c r="AU98" s="438" t="n"/>
      <c r="AV98" s="438" t="n"/>
      <c r="AW98" s="438" t="n"/>
      <c r="AX98" s="438" t="n"/>
      <c r="AY98" s="438" t="n"/>
      <c r="AZ98" s="438" t="n"/>
      <c r="BA98" s="438" t="n"/>
      <c r="BB98" s="438" t="n"/>
      <c r="BC98" s="438" t="n"/>
      <c r="BD98" s="438" t="n"/>
      <c r="BE98" s="438" t="n"/>
      <c r="BF98" s="438" t="n"/>
      <c r="BG98" s="438" t="n"/>
      <c r="BH98" s="438" t="n"/>
      <c r="BI98" s="438" t="n"/>
      <c r="BJ98" s="438" t="n"/>
      <c r="BK98" s="438" t="n"/>
      <c r="BL98" s="438" t="n"/>
      <c r="BM98" s="438" t="n"/>
      <c r="BN98" s="438" t="n"/>
      <c r="BO98" s="438" t="n"/>
      <c r="BP98" s="438" t="n"/>
      <c r="BQ98" s="438" t="n"/>
      <c r="BR98" s="438" t="n"/>
      <c r="BS98" s="438" t="n"/>
      <c r="BT98" s="438" t="n"/>
      <c r="BU98" s="438" t="n"/>
      <c r="BV98" s="450" t="n"/>
      <c r="BW98" s="441" t="n"/>
      <c r="BX98" s="450" t="n"/>
      <c r="BY98" s="441" t="n"/>
      <c r="BZ98" s="450" t="n"/>
      <c r="CA98" s="450" t="n"/>
      <c r="CB98" s="450" t="n"/>
      <c r="CC98" s="450" t="n"/>
    </row>
    <row r="99" ht="14.25" customHeight="1" s="527">
      <c r="A99" s="520" t="n"/>
      <c r="B99" s="520" t="n"/>
      <c r="C99" s="520" t="n"/>
      <c r="D99" s="521" t="n"/>
      <c r="E99" s="438" t="n"/>
      <c r="F99" s="438" t="n"/>
      <c r="G99" s="521" t="n"/>
      <c r="H99" s="521" t="n"/>
      <c r="I99" s="521" t="n"/>
      <c r="J99" s="521" t="n"/>
      <c r="K99" s="521" t="n"/>
      <c r="L99" s="521" t="n"/>
      <c r="M99" s="521" t="n"/>
      <c r="N99" s="521" t="n"/>
      <c r="O99" s="438" t="n"/>
      <c r="P99" s="438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8" t="n"/>
      <c r="AB99" s="438" t="n"/>
      <c r="AC99" s="438" t="n"/>
      <c r="AD99" s="438" t="n"/>
      <c r="AE99" s="438" t="n"/>
      <c r="AF99" s="438" t="n"/>
      <c r="AG99" s="438" t="n"/>
      <c r="AH99" s="438" t="n"/>
      <c r="AI99" s="438" t="n"/>
      <c r="AJ99" s="438" t="n"/>
      <c r="AK99" s="438" t="n"/>
      <c r="AL99" s="438" t="n"/>
      <c r="AM99" s="438" t="n"/>
      <c r="AN99" s="438" t="n"/>
      <c r="AO99" s="438" t="n"/>
      <c r="AP99" s="438" t="n"/>
      <c r="AQ99" s="438" t="n"/>
      <c r="AR99" s="438" t="n"/>
      <c r="AS99" s="438" t="n"/>
      <c r="AT99" s="438" t="n"/>
      <c r="AU99" s="438" t="n"/>
      <c r="AV99" s="438" t="n"/>
      <c r="AW99" s="438" t="n"/>
      <c r="AX99" s="438" t="n"/>
      <c r="AY99" s="438" t="n"/>
      <c r="AZ99" s="438" t="n"/>
      <c r="BA99" s="438" t="n"/>
      <c r="BB99" s="438" t="n"/>
      <c r="BC99" s="438" t="n"/>
      <c r="BD99" s="438" t="n"/>
      <c r="BE99" s="438" t="n"/>
      <c r="BF99" s="438" t="n"/>
      <c r="BG99" s="438" t="n"/>
      <c r="BH99" s="438" t="n"/>
      <c r="BI99" s="438" t="n"/>
      <c r="BJ99" s="438" t="n"/>
      <c r="BK99" s="438" t="n"/>
      <c r="BL99" s="438" t="n"/>
      <c r="BM99" s="438" t="n"/>
      <c r="BN99" s="438" t="n"/>
      <c r="BO99" s="438" t="n"/>
      <c r="BP99" s="438" t="n"/>
      <c r="BQ99" s="438" t="n"/>
      <c r="BR99" s="438" t="n"/>
      <c r="BS99" s="438" t="n"/>
      <c r="BT99" s="438" t="n"/>
      <c r="BU99" s="438" t="n"/>
      <c r="BV99" s="450" t="n"/>
      <c r="BW99" s="441" t="n"/>
      <c r="BX99" s="450" t="n"/>
      <c r="BY99" s="441" t="n"/>
      <c r="BZ99" s="450" t="n"/>
      <c r="CA99" s="450" t="n"/>
      <c r="CB99" s="450" t="n"/>
      <c r="CC99" s="450" t="n"/>
    </row>
    <row r="100" ht="14.25" customHeight="1" s="527">
      <c r="A100" s="520" t="n"/>
      <c r="B100" s="520" t="n"/>
      <c r="C100" s="520" t="n"/>
      <c r="D100" s="521" t="n"/>
      <c r="E100" s="438" t="n"/>
      <c r="F100" s="438" t="n"/>
      <c r="G100" s="521" t="n"/>
      <c r="H100" s="521" t="n"/>
      <c r="I100" s="521" t="n"/>
      <c r="J100" s="521" t="n"/>
      <c r="K100" s="521" t="n"/>
      <c r="L100" s="521" t="n"/>
      <c r="M100" s="521" t="n"/>
      <c r="N100" s="521" t="n"/>
      <c r="O100" s="438" t="n"/>
      <c r="P100" s="438" t="n"/>
      <c r="Q100" s="438" t="n"/>
      <c r="R100" s="438" t="n"/>
      <c r="S100" s="438" t="n"/>
      <c r="T100" s="438" t="n"/>
      <c r="U100" s="438" t="n"/>
      <c r="V100" s="438" t="n"/>
      <c r="W100" s="438" t="n"/>
      <c r="X100" s="438" t="n"/>
      <c r="Y100" s="438" t="n"/>
      <c r="Z100" s="438" t="n"/>
      <c r="AA100" s="438" t="n"/>
      <c r="AB100" s="438" t="n"/>
      <c r="AC100" s="438" t="n"/>
      <c r="AD100" s="438" t="n"/>
      <c r="AE100" s="438" t="n"/>
      <c r="AF100" s="438" t="n"/>
      <c r="AG100" s="438" t="n"/>
      <c r="AH100" s="438" t="n"/>
      <c r="AI100" s="438" t="n"/>
      <c r="AJ100" s="438" t="n"/>
      <c r="AK100" s="438" t="n"/>
      <c r="AL100" s="438" t="n"/>
      <c r="AM100" s="438" t="n"/>
      <c r="AN100" s="438" t="n"/>
      <c r="AO100" s="438" t="n"/>
      <c r="AP100" s="438" t="n"/>
      <c r="AQ100" s="438" t="n"/>
      <c r="AR100" s="438" t="n"/>
      <c r="AS100" s="438" t="n"/>
      <c r="AT100" s="438" t="n"/>
      <c r="AU100" s="438" t="n"/>
      <c r="AV100" s="438" t="n"/>
      <c r="AW100" s="438" t="n"/>
      <c r="AX100" s="438" t="n"/>
      <c r="AY100" s="438" t="n"/>
      <c r="AZ100" s="438" t="n"/>
      <c r="BA100" s="438" t="n"/>
      <c r="BB100" s="438" t="n"/>
      <c r="BC100" s="438" t="n"/>
      <c r="BD100" s="438" t="n"/>
      <c r="BE100" s="438" t="n"/>
      <c r="BF100" s="438" t="n"/>
      <c r="BG100" s="438" t="n"/>
      <c r="BH100" s="438" t="n"/>
      <c r="BI100" s="438" t="n"/>
      <c r="BJ100" s="438" t="n"/>
      <c r="BK100" s="438" t="n"/>
      <c r="BL100" s="438" t="n"/>
      <c r="BM100" s="438" t="n"/>
      <c r="BN100" s="438" t="n"/>
      <c r="BO100" s="438" t="n"/>
      <c r="BP100" s="438" t="n"/>
      <c r="BQ100" s="438" t="n"/>
      <c r="BR100" s="438" t="n"/>
      <c r="BS100" s="438" t="n"/>
      <c r="BT100" s="438" t="n"/>
      <c r="BU100" s="438" t="n"/>
      <c r="BV100" s="450" t="n"/>
      <c r="BW100" s="441" t="n"/>
      <c r="BX100" s="450" t="n"/>
      <c r="BY100" s="441" t="n"/>
      <c r="BZ100" s="450" t="n"/>
      <c r="CA100" s="450" t="n"/>
      <c r="CB100" s="450" t="n"/>
      <c r="CC100" s="450" t="n"/>
    </row>
    <row r="101" ht="14.25" customHeight="1" s="527">
      <c r="A101" s="520" t="n"/>
      <c r="B101" s="520" t="n"/>
      <c r="C101" s="520" t="n"/>
      <c r="D101" s="521" t="n"/>
      <c r="E101" s="438" t="n"/>
      <c r="F101" s="438" t="n"/>
      <c r="G101" s="521" t="n"/>
      <c r="H101" s="521" t="n"/>
      <c r="I101" s="521" t="n"/>
      <c r="J101" s="521" t="n"/>
      <c r="K101" s="521" t="n"/>
      <c r="L101" s="521" t="n"/>
      <c r="M101" s="521" t="n"/>
      <c r="N101" s="521" t="n"/>
      <c r="O101" s="438" t="n"/>
      <c r="P101" s="438" t="n"/>
      <c r="Q101" s="438" t="n"/>
      <c r="R101" s="438" t="n"/>
      <c r="S101" s="438" t="n"/>
      <c r="T101" s="438" t="n"/>
      <c r="U101" s="438" t="n"/>
      <c r="V101" s="438" t="n"/>
      <c r="W101" s="438" t="n"/>
      <c r="X101" s="438" t="n"/>
      <c r="Y101" s="438" t="n"/>
      <c r="Z101" s="438" t="n"/>
      <c r="AA101" s="438" t="n"/>
      <c r="AB101" s="438" t="n"/>
      <c r="AC101" s="438" t="n"/>
      <c r="AD101" s="438" t="n"/>
      <c r="AE101" s="438" t="n"/>
      <c r="AF101" s="438" t="n"/>
      <c r="AG101" s="438" t="n"/>
      <c r="AH101" s="438" t="n"/>
      <c r="AI101" s="438" t="n"/>
      <c r="AJ101" s="438" t="n"/>
      <c r="AK101" s="438" t="n"/>
      <c r="AL101" s="438" t="n"/>
      <c r="AM101" s="438" t="n"/>
      <c r="AN101" s="438" t="n"/>
      <c r="AO101" s="438" t="n"/>
      <c r="AP101" s="438" t="n"/>
      <c r="AQ101" s="438" t="n"/>
      <c r="AR101" s="438" t="n"/>
      <c r="AS101" s="438" t="n"/>
      <c r="AT101" s="438" t="n"/>
      <c r="AU101" s="438" t="n"/>
      <c r="AV101" s="438" t="n"/>
      <c r="AW101" s="438" t="n"/>
      <c r="AX101" s="438" t="n"/>
      <c r="AY101" s="438" t="n"/>
      <c r="AZ101" s="438" t="n"/>
      <c r="BA101" s="438" t="n"/>
      <c r="BB101" s="438" t="n"/>
      <c r="BC101" s="438" t="n"/>
      <c r="BD101" s="438" t="n"/>
      <c r="BE101" s="438" t="n"/>
      <c r="BF101" s="438" t="n"/>
      <c r="BG101" s="438" t="n"/>
      <c r="BH101" s="438" t="n"/>
      <c r="BI101" s="438" t="n"/>
      <c r="BJ101" s="438" t="n"/>
      <c r="BK101" s="438" t="n"/>
      <c r="BL101" s="438" t="n"/>
      <c r="BM101" s="438" t="n"/>
      <c r="BN101" s="438" t="n"/>
      <c r="BO101" s="438" t="n"/>
      <c r="BP101" s="438" t="n"/>
      <c r="BQ101" s="438" t="n"/>
      <c r="BR101" s="438" t="n"/>
      <c r="BS101" s="438" t="n"/>
      <c r="BT101" s="438" t="n"/>
      <c r="BU101" s="438" t="n"/>
      <c r="BV101" s="450" t="n"/>
      <c r="BW101" s="441" t="n"/>
      <c r="BX101" s="450" t="n"/>
      <c r="BY101" s="441" t="n"/>
      <c r="BZ101" s="450" t="n"/>
      <c r="CA101" s="450" t="n"/>
      <c r="CB101" s="450" t="n"/>
      <c r="CC101" s="450" t="n"/>
    </row>
    <row r="102" ht="14.25" customHeight="1" s="527">
      <c r="A102" s="520" t="n"/>
      <c r="B102" s="520" t="n"/>
      <c r="C102" s="520" t="n"/>
      <c r="D102" s="521" t="n"/>
      <c r="E102" s="438" t="n"/>
      <c r="F102" s="438" t="n"/>
      <c r="G102" s="521" t="n"/>
      <c r="H102" s="521" t="n"/>
      <c r="I102" s="521" t="n"/>
      <c r="J102" s="521" t="n"/>
      <c r="K102" s="521" t="n"/>
      <c r="L102" s="521" t="n"/>
      <c r="M102" s="521" t="n"/>
      <c r="N102" s="521" t="n"/>
      <c r="O102" s="438" t="n"/>
      <c r="P102" s="438" t="n"/>
      <c r="Q102" s="438" t="n"/>
      <c r="R102" s="438" t="n"/>
      <c r="S102" s="438" t="n"/>
      <c r="T102" s="438" t="n"/>
      <c r="U102" s="438" t="n"/>
      <c r="V102" s="438" t="n"/>
      <c r="W102" s="438" t="n"/>
      <c r="X102" s="438" t="n"/>
      <c r="Y102" s="438" t="n"/>
      <c r="Z102" s="438" t="n"/>
      <c r="AA102" s="438" t="n"/>
      <c r="AB102" s="438" t="n"/>
      <c r="AC102" s="438" t="n"/>
      <c r="AD102" s="438" t="n"/>
      <c r="AE102" s="438" t="n"/>
      <c r="AF102" s="438" t="n"/>
      <c r="AG102" s="438" t="n"/>
      <c r="AH102" s="438" t="n"/>
      <c r="AI102" s="438" t="n"/>
      <c r="AJ102" s="438" t="n"/>
      <c r="AK102" s="438" t="n"/>
      <c r="AL102" s="438" t="n"/>
      <c r="AM102" s="438" t="n"/>
      <c r="AN102" s="438" t="n"/>
      <c r="AO102" s="438" t="n"/>
      <c r="AP102" s="438" t="n"/>
      <c r="AQ102" s="438" t="n"/>
      <c r="AR102" s="438" t="n"/>
      <c r="AS102" s="438" t="n"/>
      <c r="AT102" s="438" t="n"/>
      <c r="AU102" s="438" t="n"/>
      <c r="AV102" s="438" t="n"/>
      <c r="AW102" s="438" t="n"/>
      <c r="AX102" s="438" t="n"/>
      <c r="AY102" s="438" t="n"/>
      <c r="AZ102" s="438" t="n"/>
      <c r="BA102" s="438" t="n"/>
      <c r="BB102" s="438" t="n"/>
      <c r="BC102" s="438" t="n"/>
      <c r="BD102" s="438" t="n"/>
      <c r="BE102" s="438" t="n"/>
      <c r="BF102" s="438" t="n"/>
      <c r="BG102" s="438" t="n"/>
      <c r="BH102" s="438" t="n"/>
      <c r="BI102" s="438" t="n"/>
      <c r="BJ102" s="438" t="n"/>
      <c r="BK102" s="438" t="n"/>
      <c r="BL102" s="438" t="n"/>
      <c r="BM102" s="438" t="n"/>
      <c r="BN102" s="438" t="n"/>
      <c r="BO102" s="438" t="n"/>
      <c r="BP102" s="438" t="n"/>
      <c r="BQ102" s="438" t="n"/>
      <c r="BR102" s="438" t="n"/>
      <c r="BS102" s="438" t="n"/>
      <c r="BT102" s="438" t="n"/>
      <c r="BU102" s="438" t="n"/>
      <c r="BV102" s="450" t="n"/>
      <c r="BW102" s="441" t="n"/>
      <c r="BX102" s="450" t="n"/>
      <c r="BY102" s="441" t="n"/>
      <c r="BZ102" s="450" t="n"/>
      <c r="CA102" s="450" t="n"/>
      <c r="CB102" s="450" t="n"/>
      <c r="CC102" s="450" t="n"/>
    </row>
    <row r="103" ht="14.25" customHeight="1" s="527">
      <c r="A103" s="520" t="n"/>
      <c r="B103" s="520" t="n"/>
      <c r="C103" s="520" t="n"/>
      <c r="D103" s="521" t="n"/>
      <c r="E103" s="438" t="n"/>
      <c r="F103" s="438" t="n"/>
      <c r="G103" s="521" t="n"/>
      <c r="H103" s="521" t="n"/>
      <c r="I103" s="521" t="n"/>
      <c r="J103" s="521" t="n"/>
      <c r="K103" s="521" t="n"/>
      <c r="L103" s="521" t="n"/>
      <c r="M103" s="521" t="n"/>
      <c r="N103" s="521" t="n"/>
      <c r="O103" s="438" t="n"/>
      <c r="P103" s="438" t="n"/>
      <c r="Q103" s="438" t="n"/>
      <c r="R103" s="438" t="n"/>
      <c r="S103" s="438" t="n"/>
      <c r="T103" s="438" t="n"/>
      <c r="U103" s="438" t="n"/>
      <c r="V103" s="438" t="n"/>
      <c r="W103" s="438" t="n"/>
      <c r="X103" s="438" t="n"/>
      <c r="Y103" s="438" t="n"/>
      <c r="Z103" s="438" t="n"/>
      <c r="AA103" s="438" t="n"/>
      <c r="AB103" s="438" t="n"/>
      <c r="AC103" s="438" t="n"/>
      <c r="AD103" s="438" t="n"/>
      <c r="AE103" s="438" t="n"/>
      <c r="AF103" s="438" t="n"/>
      <c r="AG103" s="438" t="n"/>
      <c r="AH103" s="438" t="n"/>
      <c r="AI103" s="438" t="n"/>
      <c r="AJ103" s="438" t="n"/>
      <c r="AK103" s="438" t="n"/>
      <c r="AL103" s="438" t="n"/>
      <c r="AM103" s="438" t="n"/>
      <c r="AN103" s="438" t="n"/>
      <c r="AO103" s="438" t="n"/>
      <c r="AP103" s="438" t="n"/>
      <c r="AQ103" s="438" t="n"/>
      <c r="AR103" s="438" t="n"/>
      <c r="AS103" s="438" t="n"/>
      <c r="AT103" s="438" t="n"/>
      <c r="AU103" s="438" t="n"/>
      <c r="AV103" s="438" t="n"/>
      <c r="AW103" s="438" t="n"/>
      <c r="AX103" s="438" t="n"/>
      <c r="AY103" s="438" t="n"/>
      <c r="AZ103" s="438" t="n"/>
      <c r="BA103" s="438" t="n"/>
      <c r="BB103" s="438" t="n"/>
      <c r="BC103" s="438" t="n"/>
      <c r="BD103" s="438" t="n"/>
      <c r="BE103" s="438" t="n"/>
      <c r="BF103" s="438" t="n"/>
      <c r="BG103" s="438" t="n"/>
      <c r="BH103" s="438" t="n"/>
      <c r="BI103" s="438" t="n"/>
      <c r="BJ103" s="438" t="n"/>
      <c r="BK103" s="438" t="n"/>
      <c r="BL103" s="438" t="n"/>
      <c r="BM103" s="438" t="n"/>
      <c r="BN103" s="438" t="n"/>
      <c r="BO103" s="438" t="n"/>
      <c r="BP103" s="438" t="n"/>
      <c r="BQ103" s="438" t="n"/>
      <c r="BR103" s="438" t="n"/>
      <c r="BS103" s="438" t="n"/>
      <c r="BT103" s="438" t="n"/>
      <c r="BU103" s="438" t="n"/>
      <c r="BV103" s="450" t="n"/>
      <c r="BW103" s="441" t="n"/>
      <c r="BX103" s="450" t="n"/>
      <c r="BY103" s="441" t="n"/>
      <c r="BZ103" s="450" t="n"/>
      <c r="CA103" s="450" t="n"/>
      <c r="CB103" s="450" t="n"/>
      <c r="CC103" s="450" t="n"/>
    </row>
    <row r="104" ht="14.25" customHeight="1" s="527">
      <c r="A104" s="520" t="n"/>
      <c r="B104" s="520" t="n"/>
      <c r="C104" s="520" t="n"/>
      <c r="D104" s="521" t="n"/>
      <c r="E104" s="438" t="n"/>
      <c r="F104" s="438" t="n"/>
      <c r="G104" s="521" t="n"/>
      <c r="H104" s="521" t="n"/>
      <c r="I104" s="521" t="n"/>
      <c r="J104" s="521" t="n"/>
      <c r="K104" s="521" t="n"/>
      <c r="L104" s="521" t="n"/>
      <c r="M104" s="521" t="n"/>
      <c r="N104" s="521" t="n"/>
      <c r="O104" s="438" t="n"/>
      <c r="P104" s="438" t="n"/>
      <c r="Q104" s="438" t="n"/>
      <c r="R104" s="438" t="n"/>
      <c r="S104" s="438" t="n"/>
      <c r="T104" s="438" t="n"/>
      <c r="U104" s="438" t="n"/>
      <c r="V104" s="438" t="n"/>
      <c r="W104" s="438" t="n"/>
      <c r="X104" s="438" t="n"/>
      <c r="Y104" s="438" t="n"/>
      <c r="Z104" s="438" t="n"/>
      <c r="AA104" s="438" t="n"/>
      <c r="AB104" s="438" t="n"/>
      <c r="AC104" s="438" t="n"/>
      <c r="AD104" s="438" t="n"/>
      <c r="AE104" s="438" t="n"/>
      <c r="AF104" s="438" t="n"/>
      <c r="AG104" s="438" t="n"/>
      <c r="AH104" s="438" t="n"/>
      <c r="AI104" s="438" t="n"/>
      <c r="AJ104" s="438" t="n"/>
      <c r="AK104" s="438" t="n"/>
      <c r="AL104" s="438" t="n"/>
      <c r="AM104" s="438" t="n"/>
      <c r="AN104" s="438" t="n"/>
      <c r="AO104" s="438" t="n"/>
      <c r="AP104" s="438" t="n"/>
      <c r="AQ104" s="438" t="n"/>
      <c r="AR104" s="438" t="n"/>
      <c r="AS104" s="438" t="n"/>
      <c r="AT104" s="438" t="n"/>
      <c r="AU104" s="438" t="n"/>
      <c r="AV104" s="438" t="n"/>
      <c r="AW104" s="438" t="n"/>
      <c r="AX104" s="438" t="n"/>
      <c r="AY104" s="438" t="n"/>
      <c r="AZ104" s="438" t="n"/>
      <c r="BA104" s="438" t="n"/>
      <c r="BB104" s="438" t="n"/>
      <c r="BC104" s="438" t="n"/>
      <c r="BD104" s="438" t="n"/>
      <c r="BE104" s="438" t="n"/>
      <c r="BF104" s="438" t="n"/>
      <c r="BG104" s="438" t="n"/>
      <c r="BH104" s="438" t="n"/>
      <c r="BI104" s="438" t="n"/>
      <c r="BJ104" s="438" t="n"/>
      <c r="BK104" s="438" t="n"/>
      <c r="BL104" s="438" t="n"/>
      <c r="BM104" s="438" t="n"/>
      <c r="BN104" s="438" t="n"/>
      <c r="BO104" s="438" t="n"/>
      <c r="BP104" s="438" t="n"/>
      <c r="BQ104" s="438" t="n"/>
      <c r="BR104" s="438" t="n"/>
      <c r="BS104" s="438" t="n"/>
      <c r="BT104" s="438" t="n"/>
      <c r="BU104" s="438" t="n"/>
      <c r="BV104" s="450" t="n"/>
      <c r="BW104" s="441" t="n"/>
      <c r="BX104" s="450" t="n"/>
      <c r="BY104" s="441" t="n"/>
      <c r="BZ104" s="450" t="n"/>
      <c r="CA104" s="450" t="n"/>
      <c r="CB104" s="450" t="n"/>
      <c r="CC104" s="450" t="n"/>
    </row>
    <row r="105" ht="14.25" customHeight="1" s="527">
      <c r="A105" s="520" t="n"/>
      <c r="B105" s="520" t="n"/>
      <c r="C105" s="520" t="n"/>
      <c r="D105" s="521" t="n"/>
      <c r="E105" s="438" t="n"/>
      <c r="F105" s="438" t="n"/>
      <c r="G105" s="521" t="n"/>
      <c r="H105" s="521" t="n"/>
      <c r="I105" s="521" t="n"/>
      <c r="J105" s="521" t="n"/>
      <c r="K105" s="521" t="n"/>
      <c r="L105" s="521" t="n"/>
      <c r="M105" s="521" t="n"/>
      <c r="N105" s="521" t="n"/>
      <c r="O105" s="438" t="n"/>
      <c r="P105" s="438" t="n"/>
      <c r="Q105" s="438" t="n"/>
      <c r="R105" s="438" t="n"/>
      <c r="S105" s="438" t="n"/>
      <c r="T105" s="438" t="n"/>
      <c r="U105" s="438" t="n"/>
      <c r="V105" s="438" t="n"/>
      <c r="W105" s="438" t="n"/>
      <c r="X105" s="438" t="n"/>
      <c r="Y105" s="438" t="n"/>
      <c r="Z105" s="438" t="n"/>
      <c r="AA105" s="438" t="n"/>
      <c r="AB105" s="438" t="n"/>
      <c r="AC105" s="438" t="n"/>
      <c r="AD105" s="438" t="n"/>
      <c r="AE105" s="438" t="n"/>
      <c r="AF105" s="438" t="n"/>
      <c r="AG105" s="438" t="n"/>
      <c r="AH105" s="438" t="n"/>
      <c r="AI105" s="438" t="n"/>
      <c r="AJ105" s="438" t="n"/>
      <c r="AK105" s="438" t="n"/>
      <c r="AL105" s="438" t="n"/>
      <c r="AM105" s="438" t="n"/>
      <c r="AN105" s="438" t="n"/>
      <c r="AO105" s="438" t="n"/>
      <c r="AP105" s="438" t="n"/>
      <c r="AQ105" s="438" t="n"/>
      <c r="AR105" s="438" t="n"/>
      <c r="AS105" s="438" t="n"/>
      <c r="AT105" s="438" t="n"/>
      <c r="AU105" s="438" t="n"/>
      <c r="AV105" s="438" t="n"/>
      <c r="AW105" s="438" t="n"/>
      <c r="AX105" s="438" t="n"/>
      <c r="AY105" s="438" t="n"/>
      <c r="AZ105" s="438" t="n"/>
      <c r="BA105" s="438" t="n"/>
      <c r="BB105" s="438" t="n"/>
      <c r="BC105" s="438" t="n"/>
      <c r="BD105" s="438" t="n"/>
      <c r="BE105" s="438" t="n"/>
      <c r="BF105" s="438" t="n"/>
      <c r="BG105" s="438" t="n"/>
      <c r="BH105" s="438" t="n"/>
      <c r="BI105" s="438" t="n"/>
      <c r="BJ105" s="438" t="n"/>
      <c r="BK105" s="438" t="n"/>
      <c r="BL105" s="438" t="n"/>
      <c r="BM105" s="438" t="n"/>
      <c r="BN105" s="438" t="n"/>
      <c r="BO105" s="438" t="n"/>
      <c r="BP105" s="438" t="n"/>
      <c r="BQ105" s="438" t="n"/>
      <c r="BR105" s="438" t="n"/>
      <c r="BS105" s="438" t="n"/>
      <c r="BT105" s="438" t="n"/>
      <c r="BU105" s="438" t="n"/>
      <c r="BV105" s="450" t="n"/>
      <c r="BW105" s="441" t="n"/>
      <c r="BX105" s="450" t="n"/>
      <c r="BY105" s="441" t="n"/>
      <c r="BZ105" s="450" t="n"/>
      <c r="CA105" s="450" t="n"/>
      <c r="CB105" s="450" t="n"/>
      <c r="CC105" s="450" t="n"/>
    </row>
    <row r="106" ht="14.25" customHeight="1" s="527">
      <c r="A106" s="520" t="n"/>
      <c r="B106" s="520" t="n"/>
      <c r="C106" s="520" t="n"/>
      <c r="D106" s="521" t="n"/>
      <c r="E106" s="438" t="n"/>
      <c r="F106" s="438" t="n"/>
      <c r="G106" s="521" t="n"/>
      <c r="H106" s="521" t="n"/>
      <c r="I106" s="521" t="n"/>
      <c r="J106" s="521" t="n"/>
      <c r="K106" s="521" t="n"/>
      <c r="L106" s="521" t="n"/>
      <c r="M106" s="521" t="n"/>
      <c r="N106" s="521" t="n"/>
      <c r="O106" s="438" t="n"/>
      <c r="P106" s="438" t="n"/>
      <c r="Q106" s="438" t="n"/>
      <c r="R106" s="438" t="n"/>
      <c r="S106" s="438" t="n"/>
      <c r="T106" s="438" t="n"/>
      <c r="U106" s="438" t="n"/>
      <c r="V106" s="438" t="n"/>
      <c r="W106" s="438" t="n"/>
      <c r="X106" s="438" t="n"/>
      <c r="Y106" s="438" t="n"/>
      <c r="Z106" s="438" t="n"/>
      <c r="AA106" s="438" t="n"/>
      <c r="AB106" s="438" t="n"/>
      <c r="AC106" s="438" t="n"/>
      <c r="AD106" s="438" t="n"/>
      <c r="AE106" s="438" t="n"/>
      <c r="AF106" s="438" t="n"/>
      <c r="AG106" s="438" t="n"/>
      <c r="AH106" s="438" t="n"/>
      <c r="AI106" s="438" t="n"/>
      <c r="AJ106" s="438" t="n"/>
      <c r="AK106" s="438" t="n"/>
      <c r="AL106" s="438" t="n"/>
      <c r="AM106" s="438" t="n"/>
      <c r="AN106" s="438" t="n"/>
      <c r="AO106" s="438" t="n"/>
      <c r="AP106" s="438" t="n"/>
      <c r="AQ106" s="438" t="n"/>
      <c r="AR106" s="438" t="n"/>
      <c r="AS106" s="438" t="n"/>
      <c r="AT106" s="438" t="n"/>
      <c r="AU106" s="438" t="n"/>
      <c r="AV106" s="438" t="n"/>
      <c r="AW106" s="438" t="n"/>
      <c r="AX106" s="438" t="n"/>
      <c r="AY106" s="438" t="n"/>
      <c r="AZ106" s="438" t="n"/>
      <c r="BA106" s="438" t="n"/>
      <c r="BB106" s="438" t="n"/>
      <c r="BC106" s="438" t="n"/>
      <c r="BD106" s="438" t="n"/>
      <c r="BE106" s="438" t="n"/>
      <c r="BF106" s="438" t="n"/>
      <c r="BG106" s="438" t="n"/>
      <c r="BH106" s="438" t="n"/>
      <c r="BI106" s="438" t="n"/>
      <c r="BJ106" s="438" t="n"/>
      <c r="BK106" s="438" t="n"/>
      <c r="BL106" s="438" t="n"/>
      <c r="BM106" s="438" t="n"/>
      <c r="BN106" s="438" t="n"/>
      <c r="BO106" s="438" t="n"/>
      <c r="BP106" s="438" t="n"/>
      <c r="BQ106" s="438" t="n"/>
      <c r="BR106" s="438" t="n"/>
      <c r="BS106" s="438" t="n"/>
      <c r="BT106" s="438" t="n"/>
      <c r="BU106" s="438" t="n"/>
      <c r="BV106" s="450" t="n"/>
      <c r="BW106" s="441" t="n"/>
      <c r="BX106" s="450" t="n"/>
      <c r="BY106" s="441" t="n"/>
      <c r="BZ106" s="450" t="n"/>
      <c r="CA106" s="450" t="n"/>
      <c r="CB106" s="450" t="n"/>
      <c r="CC106" s="450" t="n"/>
    </row>
    <row r="107" ht="14.25" customHeight="1" s="527">
      <c r="A107" s="520" t="n"/>
      <c r="B107" s="520" t="n"/>
      <c r="C107" s="520" t="n"/>
      <c r="D107" s="521" t="n"/>
      <c r="E107" s="438" t="n"/>
      <c r="F107" s="438" t="n"/>
      <c r="G107" s="521" t="n"/>
      <c r="H107" s="521" t="n"/>
      <c r="I107" s="521" t="n"/>
      <c r="J107" s="521" t="n"/>
      <c r="K107" s="521" t="n"/>
      <c r="L107" s="521" t="n"/>
      <c r="M107" s="521" t="n"/>
      <c r="N107" s="521" t="n"/>
      <c r="O107" s="438" t="n"/>
      <c r="P107" s="438" t="n"/>
      <c r="Q107" s="438" t="n"/>
      <c r="R107" s="438" t="n"/>
      <c r="S107" s="438" t="n"/>
      <c r="T107" s="438" t="n"/>
      <c r="U107" s="438" t="n"/>
      <c r="V107" s="438" t="n"/>
      <c r="W107" s="438" t="n"/>
      <c r="X107" s="438" t="n"/>
      <c r="Y107" s="438" t="n"/>
      <c r="Z107" s="438" t="n"/>
      <c r="AA107" s="438" t="n"/>
      <c r="AB107" s="438" t="n"/>
      <c r="AC107" s="438" t="n"/>
      <c r="AD107" s="438" t="n"/>
      <c r="AE107" s="438" t="n"/>
      <c r="AF107" s="438" t="n"/>
      <c r="AG107" s="438" t="n"/>
      <c r="AH107" s="438" t="n"/>
      <c r="AI107" s="438" t="n"/>
      <c r="AJ107" s="438" t="n"/>
      <c r="AK107" s="438" t="n"/>
      <c r="AL107" s="438" t="n"/>
      <c r="AM107" s="438" t="n"/>
      <c r="AN107" s="438" t="n"/>
      <c r="AO107" s="438" t="n"/>
      <c r="AP107" s="438" t="n"/>
      <c r="AQ107" s="438" t="n"/>
      <c r="AR107" s="438" t="n"/>
      <c r="AS107" s="438" t="n"/>
      <c r="AT107" s="438" t="n"/>
      <c r="AU107" s="438" t="n"/>
      <c r="AV107" s="438" t="n"/>
      <c r="AW107" s="438" t="n"/>
      <c r="AX107" s="438" t="n"/>
      <c r="AY107" s="438" t="n"/>
      <c r="AZ107" s="438" t="n"/>
      <c r="BA107" s="438" t="n"/>
      <c r="BB107" s="438" t="n"/>
      <c r="BC107" s="438" t="n"/>
      <c r="BD107" s="438" t="n"/>
      <c r="BE107" s="438" t="n"/>
      <c r="BF107" s="438" t="n"/>
      <c r="BG107" s="438" t="n"/>
      <c r="BH107" s="438" t="n"/>
      <c r="BI107" s="438" t="n"/>
      <c r="BJ107" s="438" t="n"/>
      <c r="BK107" s="438" t="n"/>
      <c r="BL107" s="438" t="n"/>
      <c r="BM107" s="438" t="n"/>
      <c r="BN107" s="438" t="n"/>
      <c r="BO107" s="438" t="n"/>
      <c r="BP107" s="438" t="n"/>
      <c r="BQ107" s="438" t="n"/>
      <c r="BR107" s="438" t="n"/>
      <c r="BS107" s="438" t="n"/>
      <c r="BT107" s="438" t="n"/>
      <c r="BU107" s="438" t="n"/>
      <c r="BV107" s="450" t="n"/>
      <c r="BW107" s="441" t="n"/>
      <c r="BX107" s="450" t="n"/>
      <c r="BY107" s="441" t="n"/>
      <c r="BZ107" s="450" t="n"/>
      <c r="CA107" s="450" t="n"/>
      <c r="CB107" s="450" t="n"/>
      <c r="CC107" s="450" t="n"/>
    </row>
    <row r="108" ht="14.25" customHeight="1" s="527">
      <c r="A108" s="520" t="n"/>
      <c r="B108" s="520" t="n"/>
      <c r="C108" s="520" t="n"/>
      <c r="D108" s="521" t="n"/>
      <c r="E108" s="438" t="n"/>
      <c r="F108" s="438" t="n"/>
      <c r="G108" s="521" t="n"/>
      <c r="H108" s="521" t="n"/>
      <c r="I108" s="521" t="n"/>
      <c r="J108" s="521" t="n"/>
      <c r="K108" s="521" t="n"/>
      <c r="L108" s="521" t="n"/>
      <c r="M108" s="521" t="n"/>
      <c r="N108" s="521" t="n"/>
      <c r="O108" s="438" t="n"/>
      <c r="P108" s="438" t="n"/>
      <c r="Q108" s="438" t="n"/>
      <c r="R108" s="438" t="n"/>
      <c r="S108" s="438" t="n"/>
      <c r="T108" s="438" t="n"/>
      <c r="U108" s="438" t="n"/>
      <c r="V108" s="438" t="n"/>
      <c r="W108" s="438" t="n"/>
      <c r="X108" s="438" t="n"/>
      <c r="Y108" s="438" t="n"/>
      <c r="Z108" s="438" t="n"/>
      <c r="AA108" s="438" t="n"/>
      <c r="AB108" s="438" t="n"/>
      <c r="AC108" s="438" t="n"/>
      <c r="AD108" s="438" t="n"/>
      <c r="AE108" s="438" t="n"/>
      <c r="AF108" s="438" t="n"/>
      <c r="AG108" s="438" t="n"/>
      <c r="AH108" s="438" t="n"/>
      <c r="AI108" s="438" t="n"/>
      <c r="AJ108" s="438" t="n"/>
      <c r="AK108" s="438" t="n"/>
      <c r="AL108" s="438" t="n"/>
      <c r="AM108" s="438" t="n"/>
      <c r="AN108" s="438" t="n"/>
      <c r="AO108" s="438" t="n"/>
      <c r="AP108" s="438" t="n"/>
      <c r="AQ108" s="438" t="n"/>
      <c r="AR108" s="438" t="n"/>
      <c r="AS108" s="438" t="n"/>
      <c r="AT108" s="438" t="n"/>
      <c r="AU108" s="438" t="n"/>
      <c r="AV108" s="438" t="n"/>
      <c r="AW108" s="438" t="n"/>
      <c r="AX108" s="438" t="n"/>
      <c r="AY108" s="438" t="n"/>
      <c r="AZ108" s="438" t="n"/>
      <c r="BA108" s="438" t="n"/>
      <c r="BB108" s="438" t="n"/>
      <c r="BC108" s="438" t="n"/>
      <c r="BD108" s="438" t="n"/>
      <c r="BE108" s="438" t="n"/>
      <c r="BF108" s="438" t="n"/>
      <c r="BG108" s="438" t="n"/>
      <c r="BH108" s="438" t="n"/>
      <c r="BI108" s="438" t="n"/>
      <c r="BJ108" s="438" t="n"/>
      <c r="BK108" s="438" t="n"/>
      <c r="BL108" s="438" t="n"/>
      <c r="BM108" s="438" t="n"/>
      <c r="BN108" s="438" t="n"/>
      <c r="BO108" s="438" t="n"/>
      <c r="BP108" s="438" t="n"/>
      <c r="BQ108" s="438" t="n"/>
      <c r="BR108" s="438" t="n"/>
      <c r="BS108" s="438" t="n"/>
      <c r="BT108" s="438" t="n"/>
      <c r="BU108" s="438" t="n"/>
      <c r="BV108" s="450" t="n"/>
      <c r="BW108" s="441" t="n"/>
      <c r="BX108" s="450" t="n"/>
      <c r="BY108" s="441" t="n"/>
      <c r="BZ108" s="450" t="n"/>
      <c r="CA108" s="450" t="n"/>
      <c r="CB108" s="450" t="n"/>
      <c r="CC108" s="450" t="n"/>
    </row>
    <row r="109" ht="14.25" customHeight="1" s="527">
      <c r="A109" s="520" t="n"/>
      <c r="B109" s="520" t="n"/>
      <c r="C109" s="520" t="n"/>
      <c r="D109" s="521" t="n"/>
      <c r="E109" s="438" t="n"/>
      <c r="F109" s="438" t="n"/>
      <c r="G109" s="521" t="n"/>
      <c r="H109" s="521" t="n"/>
      <c r="I109" s="521" t="n"/>
      <c r="J109" s="521" t="n"/>
      <c r="K109" s="521" t="n"/>
      <c r="L109" s="521" t="n"/>
      <c r="M109" s="521" t="n"/>
      <c r="N109" s="521" t="n"/>
      <c r="O109" s="438" t="n"/>
      <c r="P109" s="438" t="n"/>
      <c r="Q109" s="438" t="n"/>
      <c r="R109" s="438" t="n"/>
      <c r="S109" s="438" t="n"/>
      <c r="T109" s="438" t="n"/>
      <c r="U109" s="438" t="n"/>
      <c r="V109" s="438" t="n"/>
      <c r="W109" s="438" t="n"/>
      <c r="X109" s="438" t="n"/>
      <c r="Y109" s="438" t="n"/>
      <c r="Z109" s="438" t="n"/>
      <c r="AA109" s="438" t="n"/>
      <c r="AB109" s="438" t="n"/>
      <c r="AC109" s="438" t="n"/>
      <c r="AD109" s="438" t="n"/>
      <c r="AE109" s="438" t="n"/>
      <c r="AF109" s="438" t="n"/>
      <c r="AG109" s="438" t="n"/>
      <c r="AH109" s="438" t="n"/>
      <c r="AI109" s="438" t="n"/>
      <c r="AJ109" s="438" t="n"/>
      <c r="AK109" s="438" t="n"/>
      <c r="AL109" s="438" t="n"/>
      <c r="AM109" s="438" t="n"/>
      <c r="AN109" s="438" t="n"/>
      <c r="AO109" s="438" t="n"/>
      <c r="AP109" s="438" t="n"/>
      <c r="AQ109" s="438" t="n"/>
      <c r="AR109" s="438" t="n"/>
      <c r="AS109" s="438" t="n"/>
      <c r="AT109" s="438" t="n"/>
      <c r="AU109" s="438" t="n"/>
      <c r="AV109" s="438" t="n"/>
      <c r="AW109" s="438" t="n"/>
      <c r="AX109" s="438" t="n"/>
      <c r="AY109" s="438" t="n"/>
      <c r="AZ109" s="438" t="n"/>
      <c r="BA109" s="438" t="n"/>
      <c r="BB109" s="438" t="n"/>
      <c r="BC109" s="438" t="n"/>
      <c r="BD109" s="438" t="n"/>
      <c r="BE109" s="438" t="n"/>
      <c r="BF109" s="438" t="n"/>
      <c r="BG109" s="438" t="n"/>
      <c r="BH109" s="438" t="n"/>
      <c r="BI109" s="438" t="n"/>
      <c r="BJ109" s="438" t="n"/>
      <c r="BK109" s="438" t="n"/>
      <c r="BL109" s="438" t="n"/>
      <c r="BM109" s="438" t="n"/>
      <c r="BN109" s="438" t="n"/>
      <c r="BO109" s="438" t="n"/>
      <c r="BP109" s="438" t="n"/>
      <c r="BQ109" s="438" t="n"/>
      <c r="BR109" s="438" t="n"/>
      <c r="BS109" s="438" t="n"/>
      <c r="BT109" s="438" t="n"/>
      <c r="BU109" s="438" t="n"/>
      <c r="BV109" s="450" t="n"/>
      <c r="BW109" s="441" t="n"/>
      <c r="BX109" s="450" t="n"/>
      <c r="BY109" s="441" t="n"/>
      <c r="BZ109" s="450" t="n"/>
      <c r="CA109" s="450" t="n"/>
      <c r="CB109" s="450" t="n"/>
      <c r="CC109" s="450" t="n"/>
    </row>
    <row r="110" ht="14.25" customHeight="1" s="527">
      <c r="A110" s="520" t="n"/>
      <c r="B110" s="520" t="n"/>
      <c r="C110" s="520" t="n"/>
      <c r="D110" s="521" t="n"/>
      <c r="E110" s="438" t="n"/>
      <c r="F110" s="438" t="n"/>
      <c r="G110" s="521" t="n"/>
      <c r="H110" s="521" t="n"/>
      <c r="I110" s="521" t="n"/>
      <c r="J110" s="521" t="n"/>
      <c r="K110" s="521" t="n"/>
      <c r="L110" s="521" t="n"/>
      <c r="M110" s="521" t="n"/>
      <c r="N110" s="521" t="n"/>
      <c r="O110" s="438" t="n"/>
      <c r="P110" s="438" t="n"/>
      <c r="Q110" s="438" t="n"/>
      <c r="R110" s="438" t="n"/>
      <c r="S110" s="438" t="n"/>
      <c r="T110" s="438" t="n"/>
      <c r="U110" s="438" t="n"/>
      <c r="V110" s="438" t="n"/>
      <c r="W110" s="438" t="n"/>
      <c r="X110" s="438" t="n"/>
      <c r="Y110" s="438" t="n"/>
      <c r="Z110" s="438" t="n"/>
      <c r="AA110" s="438" t="n"/>
      <c r="AB110" s="438" t="n"/>
      <c r="AC110" s="438" t="n"/>
      <c r="AD110" s="438" t="n"/>
      <c r="AE110" s="438" t="n"/>
      <c r="AF110" s="438" t="n"/>
      <c r="AG110" s="438" t="n"/>
      <c r="AH110" s="438" t="n"/>
      <c r="AI110" s="438" t="n"/>
      <c r="AJ110" s="438" t="n"/>
      <c r="AK110" s="438" t="n"/>
      <c r="AL110" s="438" t="n"/>
      <c r="AM110" s="438" t="n"/>
      <c r="AN110" s="438" t="n"/>
      <c r="AO110" s="438" t="n"/>
      <c r="AP110" s="438" t="n"/>
      <c r="AQ110" s="438" t="n"/>
      <c r="AR110" s="438" t="n"/>
      <c r="AS110" s="438" t="n"/>
      <c r="AT110" s="438" t="n"/>
      <c r="AU110" s="438" t="n"/>
      <c r="AV110" s="438" t="n"/>
      <c r="AW110" s="438" t="n"/>
      <c r="AX110" s="438" t="n"/>
      <c r="AY110" s="438" t="n"/>
      <c r="AZ110" s="438" t="n"/>
      <c r="BA110" s="438" t="n"/>
      <c r="BB110" s="438" t="n"/>
      <c r="BC110" s="438" t="n"/>
      <c r="BD110" s="438" t="n"/>
      <c r="BE110" s="438" t="n"/>
      <c r="BF110" s="438" t="n"/>
      <c r="BG110" s="438" t="n"/>
      <c r="BH110" s="438" t="n"/>
      <c r="BI110" s="438" t="n"/>
      <c r="BJ110" s="438" t="n"/>
      <c r="BK110" s="438" t="n"/>
      <c r="BL110" s="438" t="n"/>
      <c r="BM110" s="438" t="n"/>
      <c r="BN110" s="438" t="n"/>
      <c r="BO110" s="438" t="n"/>
      <c r="BP110" s="438" t="n"/>
      <c r="BQ110" s="438" t="n"/>
      <c r="BR110" s="438" t="n"/>
      <c r="BS110" s="438" t="n"/>
      <c r="BT110" s="438" t="n"/>
      <c r="BU110" s="438" t="n"/>
      <c r="BV110" s="450" t="n"/>
      <c r="BW110" s="441" t="n"/>
      <c r="BX110" s="450" t="n"/>
      <c r="BY110" s="441" t="n"/>
      <c r="BZ110" s="450" t="n"/>
      <c r="CA110" s="450" t="n"/>
      <c r="CB110" s="450" t="n"/>
      <c r="CC110" s="450" t="n"/>
    </row>
    <row r="111" ht="14.25" customHeight="1" s="527">
      <c r="A111" s="520" t="n"/>
      <c r="B111" s="520" t="n"/>
      <c r="C111" s="520" t="n"/>
      <c r="D111" s="521" t="n"/>
      <c r="E111" s="438" t="n"/>
      <c r="F111" s="438" t="n"/>
      <c r="G111" s="521" t="n"/>
      <c r="H111" s="521" t="n"/>
      <c r="I111" s="521" t="n"/>
      <c r="J111" s="521" t="n"/>
      <c r="K111" s="521" t="n"/>
      <c r="L111" s="521" t="n"/>
      <c r="M111" s="521" t="n"/>
      <c r="N111" s="521" t="n"/>
      <c r="O111" s="438" t="n"/>
      <c r="P111" s="438" t="n"/>
      <c r="Q111" s="438" t="n"/>
      <c r="R111" s="438" t="n"/>
      <c r="S111" s="438" t="n"/>
      <c r="T111" s="438" t="n"/>
      <c r="U111" s="438" t="n"/>
      <c r="V111" s="438" t="n"/>
      <c r="W111" s="438" t="n"/>
      <c r="X111" s="438" t="n"/>
      <c r="Y111" s="438" t="n"/>
      <c r="Z111" s="438" t="n"/>
      <c r="AA111" s="438" t="n"/>
      <c r="AB111" s="438" t="n"/>
      <c r="AC111" s="438" t="n"/>
      <c r="AD111" s="438" t="n"/>
      <c r="AE111" s="438" t="n"/>
      <c r="AF111" s="438" t="n"/>
      <c r="AG111" s="438" t="n"/>
      <c r="AH111" s="438" t="n"/>
      <c r="AI111" s="438" t="n"/>
      <c r="AJ111" s="438" t="n"/>
      <c r="AK111" s="438" t="n"/>
      <c r="AL111" s="438" t="n"/>
      <c r="AM111" s="438" t="n"/>
      <c r="AN111" s="438" t="n"/>
      <c r="AO111" s="438" t="n"/>
      <c r="AP111" s="438" t="n"/>
      <c r="AQ111" s="438" t="n"/>
      <c r="AR111" s="438" t="n"/>
      <c r="AS111" s="438" t="n"/>
      <c r="AT111" s="438" t="n"/>
      <c r="AU111" s="438" t="n"/>
      <c r="AV111" s="438" t="n"/>
      <c r="AW111" s="438" t="n"/>
      <c r="AX111" s="438" t="n"/>
      <c r="AY111" s="438" t="n"/>
      <c r="AZ111" s="438" t="n"/>
      <c r="BA111" s="438" t="n"/>
      <c r="BB111" s="438" t="n"/>
      <c r="BC111" s="438" t="n"/>
      <c r="BD111" s="438" t="n"/>
      <c r="BE111" s="438" t="n"/>
      <c r="BF111" s="438" t="n"/>
      <c r="BG111" s="438" t="n"/>
      <c r="BH111" s="438" t="n"/>
      <c r="BI111" s="438" t="n"/>
      <c r="BJ111" s="438" t="n"/>
      <c r="BK111" s="438" t="n"/>
      <c r="BL111" s="438" t="n"/>
      <c r="BM111" s="438" t="n"/>
      <c r="BN111" s="438" t="n"/>
      <c r="BO111" s="438" t="n"/>
      <c r="BP111" s="438" t="n"/>
      <c r="BQ111" s="438" t="n"/>
      <c r="BR111" s="438" t="n"/>
      <c r="BS111" s="438" t="n"/>
      <c r="BT111" s="438" t="n"/>
      <c r="BU111" s="438" t="n"/>
      <c r="BV111" s="450" t="n"/>
      <c r="BW111" s="441" t="n"/>
      <c r="BX111" s="450" t="n"/>
      <c r="BY111" s="441" t="n"/>
      <c r="BZ111" s="450" t="n"/>
      <c r="CA111" s="450" t="n"/>
      <c r="CB111" s="450" t="n"/>
      <c r="CC111" s="450" t="n"/>
    </row>
    <row r="112" ht="14.25" customHeight="1" s="527">
      <c r="A112" s="520" t="n"/>
      <c r="B112" s="520" t="n"/>
      <c r="C112" s="520" t="n"/>
      <c r="D112" s="521" t="n"/>
      <c r="E112" s="438" t="n"/>
      <c r="F112" s="438" t="n"/>
      <c r="G112" s="521" t="n"/>
      <c r="H112" s="521" t="n"/>
      <c r="I112" s="521" t="n"/>
      <c r="J112" s="521" t="n"/>
      <c r="K112" s="521" t="n"/>
      <c r="L112" s="521" t="n"/>
      <c r="M112" s="521" t="n"/>
      <c r="N112" s="521" t="n"/>
      <c r="O112" s="438" t="n"/>
      <c r="P112" s="438" t="n"/>
      <c r="Q112" s="438" t="n"/>
      <c r="R112" s="438" t="n"/>
      <c r="S112" s="438" t="n"/>
      <c r="T112" s="438" t="n"/>
      <c r="U112" s="438" t="n"/>
      <c r="V112" s="438" t="n"/>
      <c r="W112" s="438" t="n"/>
      <c r="X112" s="438" t="n"/>
      <c r="Y112" s="438" t="n"/>
      <c r="Z112" s="438" t="n"/>
      <c r="AA112" s="438" t="n"/>
      <c r="AB112" s="438" t="n"/>
      <c r="AC112" s="438" t="n"/>
      <c r="AD112" s="438" t="n"/>
      <c r="AE112" s="438" t="n"/>
      <c r="AF112" s="438" t="n"/>
      <c r="AG112" s="438" t="n"/>
      <c r="AH112" s="438" t="n"/>
      <c r="AI112" s="438" t="n"/>
      <c r="AJ112" s="438" t="n"/>
      <c r="AK112" s="438" t="n"/>
      <c r="AL112" s="438" t="n"/>
      <c r="AM112" s="438" t="n"/>
      <c r="AN112" s="438" t="n"/>
      <c r="AO112" s="438" t="n"/>
      <c r="AP112" s="438" t="n"/>
      <c r="AQ112" s="438" t="n"/>
      <c r="AR112" s="438" t="n"/>
      <c r="AS112" s="438" t="n"/>
      <c r="AT112" s="438" t="n"/>
      <c r="AU112" s="438" t="n"/>
      <c r="AV112" s="438" t="n"/>
      <c r="AW112" s="438" t="n"/>
      <c r="AX112" s="438" t="n"/>
      <c r="AY112" s="438" t="n"/>
      <c r="AZ112" s="438" t="n"/>
      <c r="BA112" s="438" t="n"/>
      <c r="BB112" s="438" t="n"/>
      <c r="BC112" s="438" t="n"/>
      <c r="BD112" s="438" t="n"/>
      <c r="BE112" s="438" t="n"/>
      <c r="BF112" s="438" t="n"/>
      <c r="BG112" s="438" t="n"/>
      <c r="BH112" s="438" t="n"/>
      <c r="BI112" s="438" t="n"/>
      <c r="BJ112" s="438" t="n"/>
      <c r="BK112" s="438" t="n"/>
      <c r="BL112" s="438" t="n"/>
      <c r="BM112" s="438" t="n"/>
      <c r="BN112" s="438" t="n"/>
      <c r="BO112" s="438" t="n"/>
      <c r="BP112" s="438" t="n"/>
      <c r="BQ112" s="438" t="n"/>
      <c r="BR112" s="438" t="n"/>
      <c r="BS112" s="438" t="n"/>
      <c r="BT112" s="438" t="n"/>
      <c r="BU112" s="438" t="n"/>
      <c r="BV112" s="450" t="n"/>
      <c r="BW112" s="441" t="n"/>
      <c r="BX112" s="450" t="n"/>
      <c r="BY112" s="441" t="n"/>
      <c r="BZ112" s="450" t="n"/>
      <c r="CA112" s="450" t="n"/>
      <c r="CB112" s="450" t="n"/>
      <c r="CC112" s="450" t="n"/>
    </row>
    <row r="113" ht="14.25" customHeight="1" s="527">
      <c r="A113" s="520" t="n"/>
      <c r="B113" s="520" t="n"/>
      <c r="C113" s="520" t="n"/>
      <c r="D113" s="521" t="n"/>
      <c r="E113" s="438" t="n"/>
      <c r="F113" s="438" t="n"/>
      <c r="G113" s="521" t="n"/>
      <c r="H113" s="521" t="n"/>
      <c r="I113" s="521" t="n"/>
      <c r="J113" s="521" t="n"/>
      <c r="K113" s="521" t="n"/>
      <c r="L113" s="521" t="n"/>
      <c r="M113" s="521" t="n"/>
      <c r="N113" s="521" t="n"/>
      <c r="O113" s="438" t="n"/>
      <c r="P113" s="438" t="n"/>
      <c r="Q113" s="438" t="n"/>
      <c r="R113" s="438" t="n"/>
      <c r="S113" s="438" t="n"/>
      <c r="T113" s="438" t="n"/>
      <c r="U113" s="438" t="n"/>
      <c r="V113" s="438" t="n"/>
      <c r="W113" s="438" t="n"/>
      <c r="X113" s="438" t="n"/>
      <c r="Y113" s="438" t="n"/>
      <c r="Z113" s="438" t="n"/>
      <c r="AA113" s="438" t="n"/>
      <c r="AB113" s="438" t="n"/>
      <c r="AC113" s="438" t="n"/>
      <c r="AD113" s="438" t="n"/>
      <c r="AE113" s="438" t="n"/>
      <c r="AF113" s="438" t="n"/>
      <c r="AG113" s="438" t="n"/>
      <c r="AH113" s="438" t="n"/>
      <c r="AI113" s="438" t="n"/>
      <c r="AJ113" s="438" t="n"/>
      <c r="AK113" s="438" t="n"/>
      <c r="AL113" s="438" t="n"/>
      <c r="AM113" s="438" t="n"/>
      <c r="AN113" s="438" t="n"/>
      <c r="AO113" s="438" t="n"/>
      <c r="AP113" s="438" t="n"/>
      <c r="AQ113" s="438" t="n"/>
      <c r="AR113" s="438" t="n"/>
      <c r="AS113" s="438" t="n"/>
      <c r="AT113" s="438" t="n"/>
      <c r="AU113" s="438" t="n"/>
      <c r="AV113" s="438" t="n"/>
      <c r="AW113" s="438" t="n"/>
      <c r="AX113" s="438" t="n"/>
      <c r="AY113" s="438" t="n"/>
      <c r="AZ113" s="438" t="n"/>
      <c r="BA113" s="438" t="n"/>
      <c r="BB113" s="438" t="n"/>
      <c r="BC113" s="438" t="n"/>
      <c r="BD113" s="438" t="n"/>
      <c r="BE113" s="438" t="n"/>
      <c r="BF113" s="438" t="n"/>
      <c r="BG113" s="438" t="n"/>
      <c r="BH113" s="438" t="n"/>
      <c r="BI113" s="438" t="n"/>
      <c r="BJ113" s="438" t="n"/>
      <c r="BK113" s="438" t="n"/>
      <c r="BL113" s="438" t="n"/>
      <c r="BM113" s="438" t="n"/>
      <c r="BN113" s="438" t="n"/>
      <c r="BO113" s="438" t="n"/>
      <c r="BP113" s="438" t="n"/>
      <c r="BQ113" s="438" t="n"/>
      <c r="BR113" s="438" t="n"/>
      <c r="BS113" s="438" t="n"/>
      <c r="BT113" s="438" t="n"/>
      <c r="BU113" s="438" t="n"/>
      <c r="BV113" s="450" t="n"/>
      <c r="BW113" s="441" t="n"/>
      <c r="BX113" s="450" t="n"/>
      <c r="BY113" s="441" t="n"/>
      <c r="BZ113" s="450" t="n"/>
      <c r="CA113" s="450" t="n"/>
      <c r="CB113" s="450" t="n"/>
      <c r="CC113" s="450" t="n"/>
    </row>
    <row r="114" ht="14.25" customHeight="1" s="527">
      <c r="A114" s="520" t="n"/>
      <c r="B114" s="520" t="n"/>
      <c r="C114" s="520" t="n"/>
      <c r="D114" s="521" t="n"/>
      <c r="E114" s="438" t="n"/>
      <c r="F114" s="438" t="n"/>
      <c r="G114" s="521" t="n"/>
      <c r="H114" s="521" t="n"/>
      <c r="I114" s="521" t="n"/>
      <c r="J114" s="521" t="n"/>
      <c r="K114" s="521" t="n"/>
      <c r="L114" s="521" t="n"/>
      <c r="M114" s="521" t="n"/>
      <c r="N114" s="521" t="n"/>
      <c r="O114" s="438" t="n"/>
      <c r="P114" s="438" t="n"/>
      <c r="Q114" s="438" t="n"/>
      <c r="R114" s="438" t="n"/>
      <c r="S114" s="438" t="n"/>
      <c r="T114" s="438" t="n"/>
      <c r="U114" s="438" t="n"/>
      <c r="V114" s="438" t="n"/>
      <c r="W114" s="438" t="n"/>
      <c r="X114" s="438" t="n"/>
      <c r="Y114" s="438" t="n"/>
      <c r="Z114" s="438" t="n"/>
      <c r="AA114" s="438" t="n"/>
      <c r="AB114" s="438" t="n"/>
      <c r="AC114" s="438" t="n"/>
      <c r="AD114" s="438" t="n"/>
      <c r="AE114" s="438" t="n"/>
      <c r="AF114" s="438" t="n"/>
      <c r="AG114" s="438" t="n"/>
      <c r="AH114" s="438" t="n"/>
      <c r="AI114" s="438" t="n"/>
      <c r="AJ114" s="438" t="n"/>
      <c r="AK114" s="438" t="n"/>
      <c r="AL114" s="438" t="n"/>
      <c r="AM114" s="438" t="n"/>
      <c r="AN114" s="438" t="n"/>
      <c r="AO114" s="438" t="n"/>
      <c r="AP114" s="438" t="n"/>
      <c r="AQ114" s="438" t="n"/>
      <c r="AR114" s="438" t="n"/>
      <c r="AS114" s="438" t="n"/>
      <c r="AT114" s="438" t="n"/>
      <c r="AU114" s="438" t="n"/>
      <c r="AV114" s="438" t="n"/>
      <c r="AW114" s="438" t="n"/>
      <c r="AX114" s="438" t="n"/>
      <c r="AY114" s="438" t="n"/>
      <c r="AZ114" s="438" t="n"/>
      <c r="BA114" s="438" t="n"/>
      <c r="BB114" s="438" t="n"/>
      <c r="BC114" s="438" t="n"/>
      <c r="BD114" s="438" t="n"/>
      <c r="BE114" s="438" t="n"/>
      <c r="BF114" s="438" t="n"/>
      <c r="BG114" s="438" t="n"/>
      <c r="BH114" s="438" t="n"/>
      <c r="BI114" s="438" t="n"/>
      <c r="BJ114" s="438" t="n"/>
      <c r="BK114" s="438" t="n"/>
      <c r="BL114" s="438" t="n"/>
      <c r="BM114" s="438" t="n"/>
      <c r="BN114" s="438" t="n"/>
      <c r="BO114" s="438" t="n"/>
      <c r="BP114" s="438" t="n"/>
      <c r="BQ114" s="438" t="n"/>
      <c r="BR114" s="438" t="n"/>
      <c r="BS114" s="438" t="n"/>
      <c r="BT114" s="438" t="n"/>
      <c r="BU114" s="438" t="n"/>
      <c r="BV114" s="450" t="n"/>
      <c r="BW114" s="441" t="n"/>
      <c r="BX114" s="450" t="n"/>
      <c r="BY114" s="441" t="n"/>
      <c r="BZ114" s="450" t="n"/>
      <c r="CA114" s="450" t="n"/>
      <c r="CB114" s="450" t="n"/>
      <c r="CC114" s="450" t="n"/>
    </row>
    <row r="115" ht="14.25" customHeight="1" s="527">
      <c r="A115" s="520" t="n"/>
      <c r="B115" s="520" t="n"/>
      <c r="C115" s="520" t="n"/>
      <c r="D115" s="521" t="n"/>
      <c r="E115" s="438" t="n"/>
      <c r="F115" s="438" t="n"/>
      <c r="G115" s="521" t="n"/>
      <c r="H115" s="521" t="n"/>
      <c r="I115" s="521" t="n"/>
      <c r="J115" s="521" t="n"/>
      <c r="K115" s="521" t="n"/>
      <c r="L115" s="521" t="n"/>
      <c r="M115" s="521" t="n"/>
      <c r="N115" s="521" t="n"/>
      <c r="O115" s="438" t="n"/>
      <c r="P115" s="438" t="n"/>
      <c r="Q115" s="438" t="n"/>
      <c r="R115" s="438" t="n"/>
      <c r="S115" s="438" t="n"/>
      <c r="T115" s="438" t="n"/>
      <c r="U115" s="438" t="n"/>
      <c r="V115" s="438" t="n"/>
      <c r="W115" s="438" t="n"/>
      <c r="X115" s="438" t="n"/>
      <c r="Y115" s="438" t="n"/>
      <c r="Z115" s="438" t="n"/>
      <c r="AA115" s="438" t="n"/>
      <c r="AB115" s="438" t="n"/>
      <c r="AC115" s="438" t="n"/>
      <c r="AD115" s="438" t="n"/>
      <c r="AE115" s="438" t="n"/>
      <c r="AF115" s="438" t="n"/>
      <c r="AG115" s="438" t="n"/>
      <c r="AH115" s="438" t="n"/>
      <c r="AI115" s="438" t="n"/>
      <c r="AJ115" s="438" t="n"/>
      <c r="AK115" s="438" t="n"/>
      <c r="AL115" s="438" t="n"/>
      <c r="AM115" s="438" t="n"/>
      <c r="AN115" s="438" t="n"/>
      <c r="AO115" s="438" t="n"/>
      <c r="AP115" s="438" t="n"/>
      <c r="AQ115" s="438" t="n"/>
      <c r="AR115" s="438" t="n"/>
      <c r="AS115" s="438" t="n"/>
      <c r="AT115" s="438" t="n"/>
      <c r="AU115" s="438" t="n"/>
      <c r="AV115" s="438" t="n"/>
      <c r="AW115" s="438" t="n"/>
      <c r="AX115" s="438" t="n"/>
      <c r="AY115" s="438" t="n"/>
      <c r="AZ115" s="438" t="n"/>
      <c r="BA115" s="438" t="n"/>
      <c r="BB115" s="438" t="n"/>
      <c r="BC115" s="438" t="n"/>
      <c r="BD115" s="438" t="n"/>
      <c r="BE115" s="438" t="n"/>
      <c r="BF115" s="438" t="n"/>
      <c r="BG115" s="438" t="n"/>
      <c r="BH115" s="438" t="n"/>
      <c r="BI115" s="438" t="n"/>
      <c r="BJ115" s="438" t="n"/>
      <c r="BK115" s="438" t="n"/>
      <c r="BL115" s="438" t="n"/>
      <c r="BM115" s="438" t="n"/>
      <c r="BN115" s="438" t="n"/>
      <c r="BO115" s="438" t="n"/>
      <c r="BP115" s="438" t="n"/>
      <c r="BQ115" s="438" t="n"/>
      <c r="BR115" s="438" t="n"/>
      <c r="BS115" s="438" t="n"/>
      <c r="BT115" s="438" t="n"/>
      <c r="BU115" s="438" t="n"/>
      <c r="BV115" s="450" t="n"/>
      <c r="BW115" s="441" t="n"/>
      <c r="BX115" s="450" t="n"/>
      <c r="BY115" s="441" t="n"/>
      <c r="BZ115" s="450" t="n"/>
      <c r="CA115" s="450" t="n"/>
      <c r="CB115" s="450" t="n"/>
      <c r="CC115" s="450" t="n"/>
    </row>
    <row r="116" ht="14.25" customHeight="1" s="527">
      <c r="A116" s="520" t="n"/>
      <c r="B116" s="520" t="n"/>
      <c r="C116" s="520" t="n"/>
      <c r="D116" s="521" t="n"/>
      <c r="E116" s="438" t="n"/>
      <c r="F116" s="438" t="n"/>
      <c r="G116" s="521" t="n"/>
      <c r="H116" s="521" t="n"/>
      <c r="I116" s="521" t="n"/>
      <c r="J116" s="521" t="n"/>
      <c r="K116" s="521" t="n"/>
      <c r="L116" s="521" t="n"/>
      <c r="M116" s="521" t="n"/>
      <c r="N116" s="521" t="n"/>
      <c r="O116" s="438" t="n"/>
      <c r="P116" s="438" t="n"/>
      <c r="Q116" s="438" t="n"/>
      <c r="R116" s="438" t="n"/>
      <c r="S116" s="438" t="n"/>
      <c r="T116" s="438" t="n"/>
      <c r="U116" s="438" t="n"/>
      <c r="V116" s="438" t="n"/>
      <c r="W116" s="438" t="n"/>
      <c r="X116" s="438" t="n"/>
      <c r="Y116" s="438" t="n"/>
      <c r="Z116" s="438" t="n"/>
      <c r="AA116" s="438" t="n"/>
      <c r="AB116" s="438" t="n"/>
      <c r="AC116" s="438" t="n"/>
      <c r="AD116" s="438" t="n"/>
      <c r="AE116" s="438" t="n"/>
      <c r="AF116" s="438" t="n"/>
      <c r="AG116" s="438" t="n"/>
      <c r="AH116" s="438" t="n"/>
      <c r="AI116" s="438" t="n"/>
      <c r="AJ116" s="438" t="n"/>
      <c r="AK116" s="438" t="n"/>
      <c r="AL116" s="438" t="n"/>
      <c r="AM116" s="438" t="n"/>
      <c r="AN116" s="438" t="n"/>
      <c r="AO116" s="438" t="n"/>
      <c r="AP116" s="438" t="n"/>
      <c r="AQ116" s="438" t="n"/>
      <c r="AR116" s="438" t="n"/>
      <c r="AS116" s="438" t="n"/>
      <c r="AT116" s="438" t="n"/>
      <c r="AU116" s="438" t="n"/>
      <c r="AV116" s="438" t="n"/>
      <c r="AW116" s="438" t="n"/>
      <c r="AX116" s="438" t="n"/>
      <c r="AY116" s="438" t="n"/>
      <c r="AZ116" s="438" t="n"/>
      <c r="BA116" s="438" t="n"/>
      <c r="BB116" s="438" t="n"/>
      <c r="BC116" s="438" t="n"/>
      <c r="BD116" s="438" t="n"/>
      <c r="BE116" s="438" t="n"/>
      <c r="BF116" s="438" t="n"/>
      <c r="BG116" s="438" t="n"/>
      <c r="BH116" s="438" t="n"/>
      <c r="BI116" s="438" t="n"/>
      <c r="BJ116" s="438" t="n"/>
      <c r="BK116" s="438" t="n"/>
      <c r="BL116" s="438" t="n"/>
      <c r="BM116" s="438" t="n"/>
      <c r="BN116" s="438" t="n"/>
      <c r="BO116" s="438" t="n"/>
      <c r="BP116" s="438" t="n"/>
      <c r="BQ116" s="438" t="n"/>
      <c r="BR116" s="438" t="n"/>
      <c r="BS116" s="438" t="n"/>
      <c r="BT116" s="438" t="n"/>
      <c r="BU116" s="438" t="n"/>
      <c r="BV116" s="450" t="n"/>
      <c r="BW116" s="441" t="n"/>
      <c r="BX116" s="450" t="n"/>
      <c r="BY116" s="441" t="n"/>
      <c r="BZ116" s="450" t="n"/>
      <c r="CA116" s="450" t="n"/>
      <c r="CB116" s="450" t="n"/>
      <c r="CC116" s="450" t="n"/>
    </row>
    <row r="117" ht="14.25" customHeight="1" s="527">
      <c r="A117" s="520" t="n"/>
      <c r="B117" s="520" t="n"/>
      <c r="C117" s="520" t="n"/>
      <c r="D117" s="521" t="n"/>
      <c r="E117" s="438" t="n"/>
      <c r="F117" s="438" t="n"/>
      <c r="G117" s="521" t="n"/>
      <c r="H117" s="521" t="n"/>
      <c r="I117" s="521" t="n"/>
      <c r="J117" s="521" t="n"/>
      <c r="K117" s="521" t="n"/>
      <c r="L117" s="521" t="n"/>
      <c r="M117" s="521" t="n"/>
      <c r="N117" s="521" t="n"/>
      <c r="O117" s="438" t="n"/>
      <c r="P117" s="438" t="n"/>
      <c r="Q117" s="438" t="n"/>
      <c r="R117" s="438" t="n"/>
      <c r="S117" s="438" t="n"/>
      <c r="T117" s="438" t="n"/>
      <c r="U117" s="438" t="n"/>
      <c r="V117" s="438" t="n"/>
      <c r="W117" s="438" t="n"/>
      <c r="X117" s="438" t="n"/>
      <c r="Y117" s="438" t="n"/>
      <c r="Z117" s="438" t="n"/>
      <c r="AA117" s="438" t="n"/>
      <c r="AB117" s="438" t="n"/>
      <c r="AC117" s="438" t="n"/>
      <c r="AD117" s="438" t="n"/>
      <c r="AE117" s="438" t="n"/>
      <c r="AF117" s="438" t="n"/>
      <c r="AG117" s="438" t="n"/>
      <c r="AH117" s="438" t="n"/>
      <c r="AI117" s="438" t="n"/>
      <c r="AJ117" s="438" t="n"/>
      <c r="AK117" s="438" t="n"/>
      <c r="AL117" s="438" t="n"/>
      <c r="AM117" s="438" t="n"/>
      <c r="AN117" s="438" t="n"/>
      <c r="AO117" s="438" t="n"/>
      <c r="AP117" s="438" t="n"/>
      <c r="AQ117" s="438" t="n"/>
      <c r="AR117" s="438" t="n"/>
      <c r="AS117" s="438" t="n"/>
      <c r="AT117" s="438" t="n"/>
      <c r="AU117" s="438" t="n"/>
      <c r="AV117" s="438" t="n"/>
      <c r="AW117" s="438" t="n"/>
      <c r="AX117" s="438" t="n"/>
      <c r="AY117" s="438" t="n"/>
      <c r="AZ117" s="438" t="n"/>
      <c r="BA117" s="438" t="n"/>
      <c r="BB117" s="438" t="n"/>
      <c r="BC117" s="438" t="n"/>
      <c r="BD117" s="438" t="n"/>
      <c r="BE117" s="438" t="n"/>
      <c r="BF117" s="438" t="n"/>
      <c r="BG117" s="438" t="n"/>
      <c r="BH117" s="438" t="n"/>
      <c r="BI117" s="438" t="n"/>
      <c r="BJ117" s="438" t="n"/>
      <c r="BK117" s="438" t="n"/>
      <c r="BL117" s="438" t="n"/>
      <c r="BM117" s="438" t="n"/>
      <c r="BN117" s="438" t="n"/>
      <c r="BO117" s="438" t="n"/>
      <c r="BP117" s="438" t="n"/>
      <c r="BQ117" s="438" t="n"/>
      <c r="BR117" s="438" t="n"/>
      <c r="BS117" s="438" t="n"/>
      <c r="BT117" s="438" t="n"/>
      <c r="BU117" s="438" t="n"/>
      <c r="BV117" s="450" t="n"/>
      <c r="BW117" s="441" t="n"/>
      <c r="BX117" s="450" t="n"/>
      <c r="BY117" s="441" t="n"/>
      <c r="BZ117" s="450" t="n"/>
      <c r="CA117" s="450" t="n"/>
      <c r="CB117" s="450" t="n"/>
      <c r="CC117" s="450" t="n"/>
    </row>
    <row r="118" ht="14.25" customHeight="1" s="527">
      <c r="A118" s="520" t="n"/>
      <c r="B118" s="520" t="n"/>
      <c r="C118" s="520" t="n"/>
      <c r="D118" s="521" t="n"/>
      <c r="E118" s="438" t="n"/>
      <c r="F118" s="438" t="n"/>
      <c r="G118" s="521" t="n"/>
      <c r="H118" s="521" t="n"/>
      <c r="I118" s="521" t="n"/>
      <c r="J118" s="521" t="n"/>
      <c r="K118" s="521" t="n"/>
      <c r="L118" s="521" t="n"/>
      <c r="M118" s="521" t="n"/>
      <c r="N118" s="521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438" t="n"/>
      <c r="AA118" s="438" t="n"/>
      <c r="AB118" s="438" t="n"/>
      <c r="AC118" s="438" t="n"/>
      <c r="AD118" s="438" t="n"/>
      <c r="AE118" s="438" t="n"/>
      <c r="AF118" s="438" t="n"/>
      <c r="AG118" s="438" t="n"/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38" t="n"/>
      <c r="AW118" s="438" t="n"/>
      <c r="AX118" s="438" t="n"/>
      <c r="AY118" s="438" t="n"/>
      <c r="AZ118" s="438" t="n"/>
      <c r="BA118" s="438" t="n"/>
      <c r="BB118" s="438" t="n"/>
      <c r="BC118" s="438" t="n"/>
      <c r="BD118" s="438" t="n"/>
      <c r="BE118" s="438" t="n"/>
      <c r="BF118" s="438" t="n"/>
      <c r="BG118" s="438" t="n"/>
      <c r="BH118" s="438" t="n"/>
      <c r="BI118" s="438" t="n"/>
      <c r="BJ118" s="438" t="n"/>
      <c r="BK118" s="438" t="n"/>
      <c r="BL118" s="438" t="n"/>
      <c r="BM118" s="438" t="n"/>
      <c r="BN118" s="438" t="n"/>
      <c r="BO118" s="438" t="n"/>
      <c r="BP118" s="438" t="n"/>
      <c r="BQ118" s="438" t="n"/>
      <c r="BR118" s="438" t="n"/>
      <c r="BS118" s="438" t="n"/>
      <c r="BT118" s="438" t="n"/>
      <c r="BU118" s="438" t="n"/>
      <c r="BV118" s="450" t="n"/>
      <c r="BW118" s="441" t="n"/>
      <c r="BX118" s="450" t="n"/>
      <c r="BY118" s="441" t="n"/>
      <c r="BZ118" s="450" t="n"/>
      <c r="CA118" s="450" t="n"/>
      <c r="CB118" s="450" t="n"/>
      <c r="CC118" s="450" t="n"/>
    </row>
    <row r="119">
      <c r="A119" s="444" t="n"/>
      <c r="B119" s="444" t="n"/>
      <c r="C119" s="444" t="n"/>
      <c r="D119" s="444" t="n"/>
      <c r="E119" s="514" t="n"/>
      <c r="F119" s="514" t="n"/>
      <c r="G119" s="444" t="n"/>
      <c r="H119" s="444" t="n"/>
      <c r="I119" s="444" t="n"/>
      <c r="J119" s="522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  <c r="T119" s="444" t="n"/>
      <c r="U119" s="444" t="n"/>
      <c r="V119" s="444" t="n"/>
      <c r="W119" s="444" t="n"/>
      <c r="X119" s="444" t="n"/>
      <c r="Y119" s="444" t="n"/>
      <c r="Z119" s="444" t="n"/>
      <c r="AA119" s="444" t="n"/>
      <c r="AB119" s="444" t="n"/>
      <c r="AC119" s="444" t="n"/>
      <c r="AD119" s="444" t="n"/>
      <c r="AE119" s="444" t="n"/>
      <c r="AF119" s="444" t="n"/>
      <c r="AG119" s="444" t="n"/>
      <c r="AH119" s="444" t="n"/>
      <c r="AI119" s="444" t="n"/>
      <c r="AJ119" s="444" t="n"/>
      <c r="AK119" s="444" t="n"/>
      <c r="AL119" s="444" t="n"/>
      <c r="AM119" s="444" t="n"/>
      <c r="AN119" s="444" t="n"/>
      <c r="AO119" s="444" t="n"/>
      <c r="AP119" s="444" t="n"/>
      <c r="AQ119" s="444" t="n"/>
      <c r="AR119" s="444" t="n"/>
      <c r="AS119" s="444" t="n"/>
      <c r="AT119" s="444" t="n"/>
      <c r="AU119" s="444" t="n"/>
      <c r="AV119" s="444" t="n"/>
      <c r="AW119" s="444" t="n"/>
      <c r="AX119" s="444" t="n"/>
      <c r="AY119" s="444" t="n"/>
      <c r="AZ119" s="444" t="n"/>
      <c r="BA119" s="444" t="n"/>
      <c r="BB119" s="444" t="n"/>
      <c r="BC119" s="444" t="n"/>
      <c r="BD119" s="444" t="n"/>
      <c r="BE119" s="444" t="n"/>
      <c r="BF119" s="444" t="n"/>
      <c r="BG119" s="444" t="n"/>
      <c r="BH119" s="444" t="n"/>
      <c r="BI119" s="444" t="n"/>
      <c r="BJ119" s="444" t="n"/>
      <c r="BK119" s="444" t="n"/>
      <c r="BL119" s="444" t="n"/>
      <c r="BM119" s="444" t="n"/>
      <c r="BN119" s="444" t="n"/>
      <c r="BO119" s="444" t="n"/>
      <c r="BP119" s="444" t="n"/>
      <c r="BQ119" s="444" t="n"/>
      <c r="BR119" s="444" t="n"/>
      <c r="BS119" s="444" t="n"/>
      <c r="BT119" s="444" t="n"/>
      <c r="BU119" s="444" t="n"/>
      <c r="BV119" s="523" t="n"/>
      <c r="BW119" s="524" t="n"/>
      <c r="BX119" s="523" t="n"/>
      <c r="BY119" s="524" t="n"/>
      <c r="BZ119" s="523" t="n"/>
      <c r="CA119" s="523" t="n"/>
      <c r="CB119" s="523" t="n"/>
      <c r="CC119" s="523" t="n"/>
    </row>
    <row r="120">
      <c r="A120" s="444" t="n"/>
      <c r="B120" s="444" t="n"/>
      <c r="C120" s="444" t="n"/>
      <c r="D120" s="444" t="n"/>
      <c r="E120" s="514" t="n"/>
      <c r="F120" s="514" t="n"/>
      <c r="G120" s="444" t="n"/>
      <c r="H120" s="444" t="n"/>
      <c r="I120" s="444" t="n"/>
      <c r="J120" s="522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  <c r="T120" s="444" t="n"/>
      <c r="U120" s="444" t="n"/>
      <c r="V120" s="444" t="n"/>
      <c r="W120" s="444" t="n"/>
      <c r="X120" s="444" t="n"/>
      <c r="Y120" s="444" t="n"/>
      <c r="Z120" s="444" t="n"/>
      <c r="AA120" s="444" t="n"/>
      <c r="AB120" s="444" t="n"/>
      <c r="AC120" s="444" t="n"/>
      <c r="AD120" s="444" t="n"/>
      <c r="AE120" s="444" t="n"/>
      <c r="AF120" s="444" t="n"/>
      <c r="AG120" s="444" t="n"/>
      <c r="AH120" s="444" t="n"/>
      <c r="AI120" s="444" t="n"/>
      <c r="AJ120" s="444" t="n"/>
      <c r="AK120" s="444" t="n"/>
      <c r="AL120" s="444" t="n"/>
      <c r="AM120" s="444" t="n"/>
      <c r="AN120" s="444" t="n"/>
      <c r="AO120" s="444" t="n"/>
      <c r="AP120" s="444" t="n"/>
      <c r="AQ120" s="444" t="n"/>
      <c r="AR120" s="444" t="n"/>
      <c r="AS120" s="444" t="n"/>
      <c r="AT120" s="444" t="n"/>
      <c r="AU120" s="444" t="n"/>
      <c r="AV120" s="444" t="n"/>
      <c r="AW120" s="444" t="n"/>
      <c r="AX120" s="444" t="n"/>
      <c r="AY120" s="444" t="n"/>
      <c r="AZ120" s="444" t="n"/>
      <c r="BA120" s="444" t="n"/>
      <c r="BB120" s="444" t="n"/>
      <c r="BC120" s="444" t="n"/>
      <c r="BD120" s="444" t="n"/>
      <c r="BE120" s="444" t="n"/>
      <c r="BF120" s="444" t="n"/>
      <c r="BG120" s="444" t="n"/>
      <c r="BH120" s="444" t="n"/>
      <c r="BI120" s="444" t="n"/>
      <c r="BJ120" s="444" t="n"/>
      <c r="BK120" s="444" t="n"/>
      <c r="BL120" s="444" t="n"/>
      <c r="BM120" s="444" t="n"/>
      <c r="BN120" s="444" t="n"/>
      <c r="BO120" s="444" t="n"/>
      <c r="BP120" s="444" t="n"/>
      <c r="BQ120" s="444" t="n"/>
      <c r="BR120" s="444" t="n"/>
      <c r="BS120" s="444" t="n"/>
      <c r="BT120" s="444" t="n"/>
      <c r="BU120" s="444" t="n"/>
      <c r="BV120" s="523" t="n"/>
      <c r="BW120" s="524" t="n"/>
      <c r="BX120" s="523" t="n"/>
      <c r="BY120" s="524" t="n"/>
      <c r="BZ120" s="523" t="n"/>
      <c r="CA120" s="523" t="n"/>
      <c r="CB120" s="523" t="n"/>
      <c r="CC120" s="523" t="n"/>
    </row>
    <row r="121">
      <c r="A121" s="444" t="n"/>
      <c r="B121" s="444" t="n"/>
      <c r="C121" s="444" t="n"/>
      <c r="D121" s="444" t="n"/>
      <c r="E121" s="514" t="n"/>
      <c r="F121" s="514" t="n"/>
      <c r="G121" s="444" t="n"/>
      <c r="H121" s="444" t="n"/>
      <c r="I121" s="444" t="n"/>
      <c r="J121" s="522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  <c r="T121" s="444" t="n"/>
      <c r="U121" s="444" t="n"/>
      <c r="V121" s="444" t="n"/>
      <c r="W121" s="444" t="n"/>
      <c r="X121" s="444" t="n"/>
      <c r="Y121" s="444" t="n"/>
      <c r="Z121" s="444" t="n"/>
      <c r="AA121" s="444" t="n"/>
      <c r="AB121" s="444" t="n"/>
      <c r="AC121" s="444" t="n"/>
      <c r="AD121" s="444" t="n"/>
      <c r="AE121" s="444" t="n"/>
      <c r="AF121" s="444" t="n"/>
      <c r="AG121" s="444" t="n"/>
      <c r="AH121" s="444" t="n"/>
      <c r="AI121" s="444" t="n"/>
      <c r="AJ121" s="444" t="n"/>
      <c r="AK121" s="444" t="n"/>
      <c r="AL121" s="444" t="n"/>
      <c r="AM121" s="444" t="n"/>
      <c r="AN121" s="444" t="n"/>
      <c r="AO121" s="444" t="n"/>
      <c r="AP121" s="444" t="n"/>
      <c r="AQ121" s="444" t="n"/>
      <c r="AR121" s="444" t="n"/>
      <c r="AS121" s="444" t="n"/>
      <c r="AT121" s="444" t="n"/>
      <c r="AU121" s="444" t="n"/>
      <c r="AV121" s="444" t="n"/>
      <c r="AW121" s="444" t="n"/>
      <c r="AX121" s="444" t="n"/>
      <c r="AY121" s="444" t="n"/>
      <c r="AZ121" s="444" t="n"/>
      <c r="BA121" s="444" t="n"/>
      <c r="BB121" s="444" t="n"/>
      <c r="BC121" s="444" t="n"/>
      <c r="BD121" s="444" t="n"/>
      <c r="BE121" s="444" t="n"/>
      <c r="BF121" s="444" t="n"/>
      <c r="BG121" s="444" t="n"/>
      <c r="BH121" s="444" t="n"/>
      <c r="BI121" s="444" t="n"/>
      <c r="BJ121" s="444" t="n"/>
      <c r="BK121" s="444" t="n"/>
      <c r="BL121" s="444" t="n"/>
      <c r="BM121" s="444" t="n"/>
      <c r="BN121" s="444" t="n"/>
      <c r="BO121" s="444" t="n"/>
      <c r="BP121" s="444" t="n"/>
      <c r="BQ121" s="444" t="n"/>
      <c r="BR121" s="444" t="n"/>
      <c r="BS121" s="444" t="n"/>
      <c r="BT121" s="444" t="n"/>
      <c r="BU121" s="444" t="n"/>
      <c r="BV121" s="523" t="n"/>
      <c r="BW121" s="524" t="n"/>
      <c r="BX121" s="523" t="n"/>
      <c r="BY121" s="524" t="n"/>
      <c r="BZ121" s="523" t="n"/>
      <c r="CA121" s="523" t="n"/>
      <c r="CB121" s="523" t="n"/>
      <c r="CC121" s="523" t="n"/>
    </row>
    <row r="122">
      <c r="A122" s="444" t="n"/>
      <c r="B122" s="444" t="n"/>
      <c r="C122" s="444" t="n"/>
      <c r="D122" s="444" t="n"/>
      <c r="E122" s="514" t="n"/>
      <c r="F122" s="514" t="n"/>
      <c r="G122" s="444" t="n"/>
      <c r="H122" s="444" t="n"/>
      <c r="I122" s="444" t="n"/>
      <c r="J122" s="522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444" t="n"/>
      <c r="AA122" s="444" t="n"/>
      <c r="AB122" s="444" t="n"/>
      <c r="AC122" s="444" t="n"/>
      <c r="AD122" s="444" t="n"/>
      <c r="AE122" s="444" t="n"/>
      <c r="AF122" s="444" t="n"/>
      <c r="AG122" s="444" t="n"/>
      <c r="AH122" s="444" t="n"/>
      <c r="AI122" s="444" t="n"/>
      <c r="AJ122" s="444" t="n"/>
      <c r="AK122" s="444" t="n"/>
      <c r="AL122" s="444" t="n"/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44" t="n"/>
      <c r="AW122" s="444" t="n"/>
      <c r="AX122" s="444" t="n"/>
      <c r="AY122" s="444" t="n"/>
      <c r="AZ122" s="444" t="n"/>
      <c r="BA122" s="444" t="n"/>
      <c r="BB122" s="444" t="n"/>
      <c r="BC122" s="444" t="n"/>
      <c r="BD122" s="444" t="n"/>
      <c r="BE122" s="444" t="n"/>
      <c r="BF122" s="444" t="n"/>
      <c r="BG122" s="444" t="n"/>
      <c r="BH122" s="444" t="n"/>
      <c r="BI122" s="444" t="n"/>
      <c r="BJ122" s="444" t="n"/>
      <c r="BK122" s="444" t="n"/>
      <c r="BL122" s="444" t="n"/>
      <c r="BM122" s="444" t="n"/>
      <c r="BN122" s="444" t="n"/>
      <c r="BO122" s="444" t="n"/>
      <c r="BP122" s="444" t="n"/>
      <c r="BQ122" s="444" t="n"/>
      <c r="BR122" s="444" t="n"/>
      <c r="BS122" s="444" t="n"/>
      <c r="BT122" s="444" t="n"/>
      <c r="BU122" s="444" t="n"/>
      <c r="BV122" s="523" t="n"/>
      <c r="BW122" s="524" t="n"/>
      <c r="BX122" s="523" t="n"/>
      <c r="BY122" s="524" t="n"/>
      <c r="BZ122" s="523" t="n"/>
      <c r="CA122" s="523" t="n"/>
      <c r="CB122" s="523" t="n"/>
      <c r="CC122" s="523" t="n"/>
    </row>
    <row r="123">
      <c r="A123" s="444" t="n"/>
      <c r="B123" s="444" t="n"/>
      <c r="C123" s="444" t="n"/>
      <c r="D123" s="444" t="n"/>
      <c r="E123" s="514" t="n"/>
      <c r="F123" s="514" t="n"/>
      <c r="G123" s="444" t="n"/>
      <c r="H123" s="444" t="n"/>
      <c r="I123" s="444" t="n"/>
      <c r="J123" s="522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  <c r="T123" s="444" t="n"/>
      <c r="U123" s="444" t="n"/>
      <c r="V123" s="444" t="n"/>
      <c r="W123" s="444" t="n"/>
      <c r="X123" s="444" t="n"/>
      <c r="Y123" s="444" t="n"/>
      <c r="Z123" s="444" t="n"/>
      <c r="AA123" s="444" t="n"/>
      <c r="AB123" s="444" t="n"/>
      <c r="AC123" s="444" t="n"/>
      <c r="AD123" s="444" t="n"/>
      <c r="AE123" s="444" t="n"/>
      <c r="AF123" s="444" t="n"/>
      <c r="AG123" s="444" t="n"/>
      <c r="AH123" s="444" t="n"/>
      <c r="AI123" s="444" t="n"/>
      <c r="AJ123" s="444" t="n"/>
      <c r="AK123" s="444" t="n"/>
      <c r="AL123" s="444" t="n"/>
      <c r="AM123" s="444" t="n"/>
      <c r="AN123" s="444" t="n"/>
      <c r="AO123" s="444" t="n"/>
      <c r="AP123" s="444" t="n"/>
      <c r="AQ123" s="444" t="n"/>
      <c r="AR123" s="444" t="n"/>
      <c r="AS123" s="444" t="n"/>
      <c r="AT123" s="444" t="n"/>
      <c r="AU123" s="444" t="n"/>
      <c r="AV123" s="444" t="n"/>
      <c r="AW123" s="444" t="n"/>
      <c r="AX123" s="444" t="n"/>
      <c r="AY123" s="444" t="n"/>
      <c r="AZ123" s="444" t="n"/>
      <c r="BA123" s="444" t="n"/>
      <c r="BB123" s="444" t="n"/>
      <c r="BC123" s="444" t="n"/>
      <c r="BD123" s="444" t="n"/>
      <c r="BE123" s="444" t="n"/>
      <c r="BF123" s="444" t="n"/>
      <c r="BG123" s="444" t="n"/>
      <c r="BH123" s="444" t="n"/>
      <c r="BI123" s="444" t="n"/>
      <c r="BJ123" s="444" t="n"/>
      <c r="BK123" s="444" t="n"/>
      <c r="BL123" s="444" t="n"/>
      <c r="BM123" s="444" t="n"/>
      <c r="BN123" s="444" t="n"/>
      <c r="BO123" s="444" t="n"/>
      <c r="BP123" s="444" t="n"/>
      <c r="BQ123" s="444" t="n"/>
      <c r="BR123" s="444" t="n"/>
      <c r="BS123" s="444" t="n"/>
      <c r="BT123" s="444" t="n"/>
      <c r="BU123" s="444" t="n"/>
      <c r="BV123" s="523" t="n"/>
      <c r="BW123" s="524" t="n"/>
      <c r="BX123" s="523" t="n"/>
      <c r="BY123" s="524" t="n"/>
      <c r="BZ123" s="523" t="n"/>
      <c r="CA123" s="523" t="n"/>
      <c r="CB123" s="523" t="n"/>
      <c r="CC123" s="523" t="n"/>
    </row>
    <row r="124">
      <c r="A124" s="444" t="n"/>
      <c r="B124" s="444" t="n"/>
      <c r="C124" s="444" t="n"/>
      <c r="D124" s="444" t="n"/>
      <c r="E124" s="514" t="n"/>
      <c r="F124" s="514" t="n"/>
      <c r="G124" s="444" t="n"/>
      <c r="H124" s="444" t="n"/>
      <c r="I124" s="444" t="n"/>
      <c r="J124" s="522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  <c r="T124" s="444" t="n"/>
      <c r="U124" s="444" t="n"/>
      <c r="V124" s="444" t="n"/>
      <c r="W124" s="444" t="n"/>
      <c r="X124" s="444" t="n"/>
      <c r="Y124" s="444" t="n"/>
      <c r="Z124" s="444" t="n"/>
      <c r="AA124" s="444" t="n"/>
      <c r="AB124" s="444" t="n"/>
      <c r="AC124" s="444" t="n"/>
      <c r="AD124" s="444" t="n"/>
      <c r="AE124" s="444" t="n"/>
      <c r="AF124" s="444" t="n"/>
      <c r="AG124" s="444" t="n"/>
      <c r="AH124" s="444" t="n"/>
      <c r="AI124" s="444" t="n"/>
      <c r="AJ124" s="444" t="n"/>
      <c r="AK124" s="444" t="n"/>
      <c r="AL124" s="444" t="n"/>
      <c r="AM124" s="444" t="n"/>
      <c r="AN124" s="444" t="n"/>
      <c r="AO124" s="444" t="n"/>
      <c r="AP124" s="444" t="n"/>
      <c r="AQ124" s="444" t="n"/>
      <c r="AR124" s="444" t="n"/>
      <c r="AS124" s="444" t="n"/>
      <c r="AT124" s="444" t="n"/>
      <c r="AU124" s="444" t="n"/>
      <c r="AV124" s="444" t="n"/>
      <c r="AW124" s="444" t="n"/>
      <c r="AX124" s="444" t="n"/>
      <c r="AY124" s="444" t="n"/>
      <c r="AZ124" s="444" t="n"/>
      <c r="BA124" s="444" t="n"/>
      <c r="BB124" s="444" t="n"/>
      <c r="BC124" s="444" t="n"/>
      <c r="BD124" s="444" t="n"/>
      <c r="BE124" s="444" t="n"/>
      <c r="BF124" s="444" t="n"/>
      <c r="BG124" s="444" t="n"/>
      <c r="BH124" s="444" t="n"/>
      <c r="BI124" s="444" t="n"/>
      <c r="BJ124" s="444" t="n"/>
      <c r="BK124" s="444" t="n"/>
      <c r="BL124" s="444" t="n"/>
      <c r="BM124" s="444" t="n"/>
      <c r="BN124" s="444" t="n"/>
      <c r="BO124" s="444" t="n"/>
      <c r="BP124" s="444" t="n"/>
      <c r="BQ124" s="444" t="n"/>
      <c r="BR124" s="444" t="n"/>
      <c r="BS124" s="444" t="n"/>
      <c r="BT124" s="444" t="n"/>
      <c r="BU124" s="444" t="n"/>
      <c r="BV124" s="523" t="n"/>
      <c r="BW124" s="524" t="n"/>
      <c r="BX124" s="523" t="n"/>
      <c r="BY124" s="524" t="n"/>
      <c r="BZ124" s="523" t="n"/>
      <c r="CA124" s="523" t="n"/>
      <c r="CB124" s="523" t="n"/>
      <c r="CC124" s="523" t="n"/>
    </row>
    <row r="125">
      <c r="A125" s="444" t="n"/>
      <c r="B125" s="444" t="n"/>
      <c r="C125" s="444" t="n"/>
      <c r="D125" s="444" t="n"/>
      <c r="E125" s="514" t="n"/>
      <c r="F125" s="514" t="n"/>
      <c r="G125" s="444" t="n"/>
      <c r="H125" s="444" t="n"/>
      <c r="I125" s="444" t="n"/>
      <c r="J125" s="522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  <c r="T125" s="444" t="n"/>
      <c r="U125" s="444" t="n"/>
      <c r="V125" s="444" t="n"/>
      <c r="W125" s="444" t="n"/>
      <c r="X125" s="444" t="n"/>
      <c r="Y125" s="444" t="n"/>
      <c r="Z125" s="444" t="n"/>
      <c r="AA125" s="444" t="n"/>
      <c r="AB125" s="444" t="n"/>
      <c r="AC125" s="444" t="n"/>
      <c r="AD125" s="444" t="n"/>
      <c r="AE125" s="444" t="n"/>
      <c r="AF125" s="444" t="n"/>
      <c r="AG125" s="444" t="n"/>
      <c r="AH125" s="444" t="n"/>
      <c r="AI125" s="444" t="n"/>
      <c r="AJ125" s="444" t="n"/>
      <c r="AK125" s="444" t="n"/>
      <c r="AL125" s="444" t="n"/>
      <c r="AM125" s="444" t="n"/>
      <c r="AN125" s="444" t="n"/>
      <c r="AO125" s="444" t="n"/>
      <c r="AP125" s="444" t="n"/>
      <c r="AQ125" s="444" t="n"/>
      <c r="AR125" s="444" t="n"/>
      <c r="AS125" s="444" t="n"/>
      <c r="AT125" s="444" t="n"/>
      <c r="AU125" s="444" t="n"/>
      <c r="AV125" s="444" t="n"/>
      <c r="AW125" s="444" t="n"/>
      <c r="AX125" s="444" t="n"/>
      <c r="AY125" s="444" t="n"/>
      <c r="AZ125" s="444" t="n"/>
      <c r="BA125" s="444" t="n"/>
      <c r="BB125" s="444" t="n"/>
      <c r="BC125" s="444" t="n"/>
      <c r="BD125" s="444" t="n"/>
      <c r="BE125" s="444" t="n"/>
      <c r="BF125" s="444" t="n"/>
      <c r="BG125" s="444" t="n"/>
      <c r="BH125" s="444" t="n"/>
      <c r="BI125" s="444" t="n"/>
      <c r="BJ125" s="444" t="n"/>
      <c r="BK125" s="444" t="n"/>
      <c r="BL125" s="444" t="n"/>
      <c r="BM125" s="444" t="n"/>
      <c r="BN125" s="444" t="n"/>
      <c r="BO125" s="444" t="n"/>
      <c r="BP125" s="444" t="n"/>
      <c r="BQ125" s="444" t="n"/>
      <c r="BR125" s="444" t="n"/>
      <c r="BS125" s="444" t="n"/>
      <c r="BT125" s="444" t="n"/>
      <c r="BU125" s="444" t="n"/>
      <c r="BV125" s="523" t="n"/>
      <c r="BW125" s="524" t="n"/>
      <c r="BX125" s="523" t="n"/>
      <c r="BY125" s="524" t="n"/>
      <c r="BZ125" s="523" t="n"/>
      <c r="CA125" s="523" t="n"/>
      <c r="CB125" s="523" t="n"/>
      <c r="CC125" s="523" t="n"/>
    </row>
    <row r="126">
      <c r="A126" s="444" t="n"/>
      <c r="B126" s="444" t="n"/>
      <c r="C126" s="444" t="n"/>
      <c r="D126" s="444" t="n"/>
      <c r="E126" s="514" t="n"/>
      <c r="F126" s="514" t="n"/>
      <c r="G126" s="444" t="n"/>
      <c r="H126" s="444" t="n"/>
      <c r="I126" s="444" t="n"/>
      <c r="J126" s="522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  <c r="T126" s="444" t="n"/>
      <c r="U126" s="444" t="n"/>
      <c r="V126" s="444" t="n"/>
      <c r="W126" s="444" t="n"/>
      <c r="X126" s="444" t="n"/>
      <c r="Y126" s="444" t="n"/>
      <c r="Z126" s="444" t="n"/>
      <c r="AA126" s="444" t="n"/>
      <c r="AB126" s="444" t="n"/>
      <c r="AC126" s="444" t="n"/>
      <c r="AD126" s="444" t="n"/>
      <c r="AE126" s="444" t="n"/>
      <c r="AF126" s="444" t="n"/>
      <c r="AG126" s="444" t="n"/>
      <c r="AH126" s="444" t="n"/>
      <c r="AI126" s="444" t="n"/>
      <c r="AJ126" s="444" t="n"/>
      <c r="AK126" s="444" t="n"/>
      <c r="AL126" s="444" t="n"/>
      <c r="AM126" s="444" t="n"/>
      <c r="AN126" s="444" t="n"/>
      <c r="AO126" s="444" t="n"/>
      <c r="AP126" s="444" t="n"/>
      <c r="AQ126" s="444" t="n"/>
      <c r="AR126" s="444" t="n"/>
      <c r="AS126" s="444" t="n"/>
      <c r="AT126" s="444" t="n"/>
      <c r="AU126" s="444" t="n"/>
      <c r="AV126" s="444" t="n"/>
      <c r="AW126" s="444" t="n"/>
      <c r="AX126" s="444" t="n"/>
      <c r="AY126" s="444" t="n"/>
      <c r="AZ126" s="444" t="n"/>
      <c r="BA126" s="444" t="n"/>
      <c r="BB126" s="444" t="n"/>
      <c r="BC126" s="444" t="n"/>
      <c r="BD126" s="444" t="n"/>
      <c r="BE126" s="444" t="n"/>
      <c r="BF126" s="444" t="n"/>
      <c r="BG126" s="444" t="n"/>
      <c r="BH126" s="444" t="n"/>
      <c r="BI126" s="444" t="n"/>
      <c r="BJ126" s="444" t="n"/>
      <c r="BK126" s="444" t="n"/>
      <c r="BL126" s="444" t="n"/>
      <c r="BM126" s="444" t="n"/>
      <c r="BN126" s="444" t="n"/>
      <c r="BO126" s="444" t="n"/>
      <c r="BP126" s="444" t="n"/>
      <c r="BQ126" s="444" t="n"/>
      <c r="BR126" s="444" t="n"/>
      <c r="BS126" s="444" t="n"/>
      <c r="BT126" s="444" t="n"/>
      <c r="BU126" s="444" t="n"/>
      <c r="BV126" s="523" t="n"/>
      <c r="BW126" s="524" t="n"/>
      <c r="BX126" s="523" t="n"/>
      <c r="BY126" s="524" t="n"/>
      <c r="BZ126" s="523" t="n"/>
      <c r="CA126" s="523" t="n"/>
      <c r="CB126" s="523" t="n"/>
      <c r="CC126" s="523" t="n"/>
    </row>
    <row r="127">
      <c r="A127" s="444" t="n"/>
      <c r="B127" s="444" t="n"/>
      <c r="C127" s="444" t="n"/>
      <c r="D127" s="444" t="n"/>
      <c r="E127" s="514" t="n"/>
      <c r="F127" s="514" t="n"/>
      <c r="G127" s="444" t="n"/>
      <c r="H127" s="444" t="n"/>
      <c r="I127" s="444" t="n"/>
      <c r="J127" s="522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  <c r="T127" s="444" t="n"/>
      <c r="U127" s="444" t="n"/>
      <c r="V127" s="444" t="n"/>
      <c r="W127" s="444" t="n"/>
      <c r="X127" s="444" t="n"/>
      <c r="Y127" s="444" t="n"/>
      <c r="Z127" s="444" t="n"/>
      <c r="AA127" s="444" t="n"/>
      <c r="AB127" s="444" t="n"/>
      <c r="AC127" s="444" t="n"/>
      <c r="AD127" s="444" t="n"/>
      <c r="AE127" s="444" t="n"/>
      <c r="AF127" s="444" t="n"/>
      <c r="AG127" s="444" t="n"/>
      <c r="AH127" s="444" t="n"/>
      <c r="AI127" s="444" t="n"/>
      <c r="AJ127" s="444" t="n"/>
      <c r="AK127" s="444" t="n"/>
      <c r="AL127" s="444" t="n"/>
      <c r="AM127" s="444" t="n"/>
      <c r="AN127" s="444" t="n"/>
      <c r="AO127" s="444" t="n"/>
      <c r="AP127" s="444" t="n"/>
      <c r="AQ127" s="444" t="n"/>
      <c r="AR127" s="444" t="n"/>
      <c r="AS127" s="444" t="n"/>
      <c r="AT127" s="444" t="n"/>
      <c r="AU127" s="444" t="n"/>
      <c r="AV127" s="444" t="n"/>
      <c r="AW127" s="444" t="n"/>
      <c r="AX127" s="444" t="n"/>
      <c r="AY127" s="444" t="n"/>
      <c r="AZ127" s="444" t="n"/>
      <c r="BA127" s="444" t="n"/>
      <c r="BB127" s="444" t="n"/>
      <c r="BC127" s="444" t="n"/>
      <c r="BD127" s="444" t="n"/>
      <c r="BE127" s="444" t="n"/>
      <c r="BF127" s="444" t="n"/>
      <c r="BG127" s="444" t="n"/>
      <c r="BH127" s="444" t="n"/>
      <c r="BI127" s="444" t="n"/>
      <c r="BJ127" s="444" t="n"/>
      <c r="BK127" s="444" t="n"/>
      <c r="BL127" s="444" t="n"/>
      <c r="BM127" s="444" t="n"/>
      <c r="BN127" s="444" t="n"/>
      <c r="BO127" s="444" t="n"/>
      <c r="BP127" s="444" t="n"/>
      <c r="BQ127" s="444" t="n"/>
      <c r="BR127" s="444" t="n"/>
      <c r="BS127" s="444" t="n"/>
      <c r="BT127" s="444" t="n"/>
      <c r="BU127" s="444" t="n"/>
      <c r="BV127" s="523" t="n"/>
      <c r="BW127" s="524" t="n"/>
      <c r="BX127" s="523" t="n"/>
      <c r="BY127" s="524" t="n"/>
      <c r="BZ127" s="523" t="n"/>
      <c r="CA127" s="523" t="n"/>
      <c r="CB127" s="523" t="n"/>
      <c r="CC127" s="523" t="n"/>
    </row>
    <row r="128">
      <c r="A128" s="444" t="n"/>
      <c r="B128" s="444" t="n"/>
      <c r="C128" s="444" t="n"/>
      <c r="D128" s="444" t="n"/>
      <c r="E128" s="514" t="n"/>
      <c r="F128" s="514" t="n"/>
      <c r="G128" s="444" t="n"/>
      <c r="H128" s="444" t="n"/>
      <c r="I128" s="444" t="n"/>
      <c r="J128" s="522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444" t="n"/>
      <c r="AA128" s="444" t="n"/>
      <c r="AB128" s="444" t="n"/>
      <c r="AC128" s="444" t="n"/>
      <c r="AD128" s="444" t="n"/>
      <c r="AE128" s="444" t="n"/>
      <c r="AF128" s="444" t="n"/>
      <c r="AG128" s="444" t="n"/>
      <c r="AH128" s="444" t="n"/>
      <c r="AI128" s="444" t="n"/>
      <c r="AJ128" s="444" t="n"/>
      <c r="AK128" s="444" t="n"/>
      <c r="AL128" s="444" t="n"/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44" t="n"/>
      <c r="AW128" s="444" t="n"/>
      <c r="AX128" s="444" t="n"/>
      <c r="AY128" s="444" t="n"/>
      <c r="AZ128" s="444" t="n"/>
      <c r="BA128" s="444" t="n"/>
      <c r="BB128" s="444" t="n"/>
      <c r="BC128" s="444" t="n"/>
      <c r="BD128" s="444" t="n"/>
      <c r="BE128" s="444" t="n"/>
      <c r="BF128" s="444" t="n"/>
      <c r="BG128" s="444" t="n"/>
      <c r="BH128" s="444" t="n"/>
      <c r="BI128" s="444" t="n"/>
      <c r="BJ128" s="444" t="n"/>
      <c r="BK128" s="444" t="n"/>
      <c r="BL128" s="444" t="n"/>
      <c r="BM128" s="444" t="n"/>
      <c r="BN128" s="444" t="n"/>
      <c r="BO128" s="444" t="n"/>
      <c r="BP128" s="444" t="n"/>
      <c r="BQ128" s="444" t="n"/>
      <c r="BR128" s="444" t="n"/>
      <c r="BS128" s="444" t="n"/>
      <c r="BT128" s="444" t="n"/>
      <c r="BU128" s="444" t="n"/>
      <c r="BV128" s="523" t="n"/>
      <c r="BW128" s="524" t="n"/>
      <c r="BX128" s="523" t="n"/>
      <c r="BY128" s="524" t="n"/>
      <c r="BZ128" s="523" t="n"/>
      <c r="CA128" s="523" t="n"/>
      <c r="CB128" s="523" t="n"/>
      <c r="CC128" s="523" t="n"/>
    </row>
    <row r="129">
      <c r="T129" s="525" t="n"/>
      <c r="U129" s="525" t="n"/>
      <c r="V129" s="525" t="n"/>
      <c r="W129" s="525" t="n"/>
      <c r="X129" s="525" t="n"/>
      <c r="Y129" s="525" t="n"/>
      <c r="Z129" s="525" t="n"/>
      <c r="AA129" s="525" t="n"/>
      <c r="AB129" s="525" t="n"/>
      <c r="AC129" s="525" t="n"/>
      <c r="AH129" s="525" t="n"/>
      <c r="AI129" s="525" t="n"/>
      <c r="AJ129" s="525" t="n"/>
      <c r="AK129" s="525" t="n"/>
      <c r="AL129" s="525" t="n"/>
      <c r="AM129" s="525" t="n"/>
      <c r="AN129" s="525" t="n"/>
      <c r="AO129" s="525" t="n"/>
      <c r="AP129" s="525" t="n"/>
      <c r="AQ129" s="525" t="n"/>
      <c r="AT129" s="526" t="n"/>
      <c r="AU129" s="526" t="n"/>
      <c r="AX129" s="526" t="n"/>
      <c r="AY129" s="526" t="n"/>
      <c r="BR129" s="526" t="n"/>
      <c r="BS129" s="526" t="n"/>
    </row>
    <row r="130">
      <c r="T130" s="525" t="n"/>
      <c r="U130" s="525" t="n"/>
      <c r="V130" s="525" t="n"/>
      <c r="W130" s="525" t="n"/>
      <c r="X130" s="525" t="n"/>
      <c r="Y130" s="525" t="n"/>
      <c r="Z130" s="525" t="n"/>
      <c r="AA130" s="525" t="n"/>
      <c r="AB130" s="525" t="n"/>
      <c r="AC130" s="525" t="n"/>
      <c r="AH130" s="525" t="n"/>
      <c r="AI130" s="525" t="n"/>
      <c r="AJ130" s="525" t="n"/>
      <c r="AK130" s="525" t="n"/>
      <c r="AL130" s="525" t="n"/>
      <c r="AM130" s="525" t="n"/>
      <c r="AN130" s="525" t="n"/>
      <c r="AO130" s="525" t="n"/>
      <c r="AP130" s="525" t="n"/>
      <c r="AQ130" s="525" t="n"/>
      <c r="AT130" s="526" t="n"/>
      <c r="AU130" s="526" t="n"/>
      <c r="AX130" s="526" t="n"/>
      <c r="AY130" s="526" t="n"/>
      <c r="BR130" s="526" t="n"/>
      <c r="BS130" s="526" t="n"/>
    </row>
    <row r="131">
      <c r="T131" s="525" t="n"/>
      <c r="U131" s="525" t="n"/>
      <c r="V131" s="525" t="n"/>
      <c r="W131" s="525" t="n"/>
      <c r="X131" s="525" t="n"/>
      <c r="Y131" s="525" t="n"/>
      <c r="Z131" s="525" t="n"/>
      <c r="AA131" s="525" t="n"/>
      <c r="AB131" s="525" t="n"/>
      <c r="AC131" s="525" t="n"/>
      <c r="AH131" s="525" t="n"/>
      <c r="AI131" s="525" t="n"/>
      <c r="AJ131" s="525" t="n"/>
      <c r="AK131" s="525" t="n"/>
      <c r="AL131" s="525" t="n"/>
      <c r="AM131" s="525" t="n"/>
      <c r="AN131" s="525" t="n"/>
      <c r="AO131" s="525" t="n"/>
      <c r="AP131" s="525" t="n"/>
      <c r="AQ131" s="525" t="n"/>
      <c r="AT131" s="526" t="n"/>
      <c r="AU131" s="526" t="n"/>
      <c r="AX131" s="526" t="n"/>
      <c r="AY131" s="526" t="n"/>
      <c r="BR131" s="526" t="n"/>
      <c r="BS131" s="526" t="n"/>
    </row>
    <row r="132">
      <c r="T132" s="525" t="n"/>
      <c r="U132" s="525" t="n"/>
      <c r="V132" s="525" t="n"/>
      <c r="W132" s="525" t="n"/>
      <c r="X132" s="525" t="n"/>
      <c r="Y132" s="525" t="n"/>
      <c r="Z132" s="525" t="n"/>
      <c r="AA132" s="525" t="n"/>
      <c r="AB132" s="525" t="n"/>
      <c r="AC132" s="525" t="n"/>
      <c r="AH132" s="525" t="n"/>
      <c r="AI132" s="525" t="n"/>
      <c r="AJ132" s="525" t="n"/>
      <c r="AK132" s="525" t="n"/>
      <c r="AL132" s="525" t="n"/>
      <c r="AM132" s="525" t="n"/>
      <c r="AN132" s="525" t="n"/>
      <c r="AO132" s="525" t="n"/>
      <c r="AP132" s="525" t="n"/>
      <c r="AQ132" s="525" t="n"/>
      <c r="AT132" s="526" t="n"/>
      <c r="AU132" s="526" t="n"/>
      <c r="AX132" s="526" t="n"/>
      <c r="AY132" s="526" t="n"/>
      <c r="BR132" s="526" t="n"/>
      <c r="BS132" s="526" t="n"/>
    </row>
    <row r="133">
      <c r="T133" s="525" t="n"/>
      <c r="U133" s="525" t="n"/>
      <c r="V133" s="525" t="n"/>
      <c r="W133" s="525" t="n"/>
      <c r="X133" s="525" t="n"/>
      <c r="Y133" s="525" t="n"/>
      <c r="Z133" s="525" t="n"/>
      <c r="AA133" s="525" t="n"/>
      <c r="AB133" s="525" t="n"/>
      <c r="AC133" s="525" t="n"/>
      <c r="AH133" s="525" t="n"/>
      <c r="AI133" s="525" t="n"/>
      <c r="AJ133" s="525" t="n"/>
      <c r="AK133" s="525" t="n"/>
      <c r="AL133" s="525" t="n"/>
      <c r="AM133" s="525" t="n"/>
      <c r="AN133" s="525" t="n"/>
      <c r="AO133" s="525" t="n"/>
      <c r="AP133" s="525" t="n"/>
      <c r="AQ133" s="525" t="n"/>
      <c r="AT133" s="526" t="n"/>
      <c r="AU133" s="526" t="n"/>
      <c r="AX133" s="526" t="n"/>
      <c r="AY133" s="526" t="n"/>
      <c r="BR133" s="526" t="n"/>
      <c r="BS133" s="526" t="n"/>
    </row>
    <row r="134">
      <c r="T134" s="525" t="n"/>
      <c r="U134" s="525" t="n"/>
      <c r="V134" s="525" t="n"/>
      <c r="W134" s="525" t="n"/>
      <c r="X134" s="525" t="n"/>
      <c r="Y134" s="525" t="n"/>
      <c r="Z134" s="525" t="n"/>
      <c r="AA134" s="525" t="n"/>
      <c r="AB134" s="525" t="n"/>
      <c r="AC134" s="525" t="n"/>
      <c r="AH134" s="525" t="n"/>
      <c r="AI134" s="525" t="n"/>
      <c r="AJ134" s="525" t="n"/>
      <c r="AK134" s="525" t="n"/>
      <c r="AL134" s="525" t="n"/>
      <c r="AM134" s="525" t="n"/>
      <c r="AN134" s="525" t="n"/>
      <c r="AO134" s="525" t="n"/>
      <c r="AP134" s="525" t="n"/>
      <c r="AQ134" s="525" t="n"/>
      <c r="AT134" s="526" t="n"/>
      <c r="AU134" s="526" t="n"/>
      <c r="AX134" s="526" t="n"/>
      <c r="AY134" s="526" t="n"/>
      <c r="BR134" s="526" t="n"/>
      <c r="BS134" s="526" t="n"/>
    </row>
    <row r="135">
      <c r="T135" s="525" t="n"/>
      <c r="U135" s="525" t="n"/>
      <c r="V135" s="525" t="n"/>
      <c r="W135" s="525" t="n"/>
      <c r="X135" s="525" t="n"/>
      <c r="Y135" s="525" t="n"/>
      <c r="Z135" s="525" t="n"/>
      <c r="AA135" s="525" t="n"/>
      <c r="AB135" s="525" t="n"/>
      <c r="AC135" s="525" t="n"/>
      <c r="AH135" s="525" t="n"/>
      <c r="AI135" s="525" t="n"/>
      <c r="AJ135" s="525" t="n"/>
      <c r="AK135" s="525" t="n"/>
      <c r="AL135" s="525" t="n"/>
      <c r="AM135" s="525" t="n"/>
      <c r="AN135" s="525" t="n"/>
      <c r="AO135" s="525" t="n"/>
      <c r="AP135" s="525" t="n"/>
      <c r="AQ135" s="525" t="n"/>
      <c r="AT135" s="526" t="n"/>
      <c r="AU135" s="526" t="n"/>
      <c r="AX135" s="526" t="n"/>
      <c r="AY135" s="526" t="n"/>
      <c r="BR135" s="526" t="n"/>
      <c r="BS135" s="526" t="n"/>
    </row>
    <row r="136">
      <c r="T136" s="525" t="n"/>
      <c r="U136" s="525" t="n"/>
      <c r="V136" s="525" t="n"/>
      <c r="W136" s="525" t="n"/>
      <c r="X136" s="525" t="n"/>
      <c r="Y136" s="525" t="n"/>
      <c r="Z136" s="525" t="n"/>
      <c r="AA136" s="525" t="n"/>
      <c r="AB136" s="525" t="n"/>
      <c r="AC136" s="525" t="n"/>
      <c r="AH136" s="525" t="n"/>
      <c r="AI136" s="525" t="n"/>
      <c r="AJ136" s="525" t="n"/>
      <c r="AK136" s="525" t="n"/>
      <c r="AL136" s="525" t="n"/>
      <c r="AM136" s="525" t="n"/>
      <c r="AN136" s="525" t="n"/>
      <c r="AO136" s="525" t="n"/>
      <c r="AP136" s="525" t="n"/>
      <c r="AQ136" s="525" t="n"/>
      <c r="AT136" s="526" t="n"/>
      <c r="AU136" s="526" t="n"/>
      <c r="AX136" s="526" t="n"/>
      <c r="AY136" s="526" t="n"/>
      <c r="BR136" s="526" t="n"/>
      <c r="BS136" s="526" t="n"/>
    </row>
    <row r="137">
      <c r="T137" s="525" t="n"/>
      <c r="U137" s="525" t="n"/>
      <c r="V137" s="525" t="n"/>
      <c r="W137" s="525" t="n"/>
      <c r="X137" s="525" t="n"/>
      <c r="Y137" s="525" t="n"/>
      <c r="Z137" s="525" t="n"/>
      <c r="AA137" s="525" t="n"/>
      <c r="AB137" s="525" t="n"/>
      <c r="AC137" s="525" t="n"/>
      <c r="AH137" s="525" t="n"/>
      <c r="AI137" s="525" t="n"/>
      <c r="AJ137" s="525" t="n"/>
      <c r="AK137" s="525" t="n"/>
      <c r="AL137" s="525" t="n"/>
      <c r="AM137" s="525" t="n"/>
      <c r="AN137" s="525" t="n"/>
      <c r="AO137" s="525" t="n"/>
      <c r="AP137" s="525" t="n"/>
      <c r="AQ137" s="525" t="n"/>
      <c r="AT137" s="526" t="n"/>
      <c r="AU137" s="526" t="n"/>
      <c r="AX137" s="526" t="n"/>
      <c r="AY137" s="526" t="n"/>
      <c r="BR137" s="526" t="n"/>
      <c r="BS137" s="526" t="n"/>
    </row>
    <row r="138">
      <c r="T138" s="525" t="n"/>
      <c r="U138" s="525" t="n"/>
      <c r="V138" s="525" t="n"/>
      <c r="W138" s="525" t="n"/>
      <c r="X138" s="525" t="n"/>
      <c r="Y138" s="525" t="n"/>
      <c r="Z138" s="525" t="n"/>
      <c r="AA138" s="525" t="n"/>
      <c r="AB138" s="525" t="n"/>
      <c r="AC138" s="525" t="n"/>
      <c r="AH138" s="525" t="n"/>
      <c r="AI138" s="525" t="n"/>
      <c r="AJ138" s="525" t="n"/>
      <c r="AK138" s="525" t="n"/>
      <c r="AL138" s="525" t="n"/>
      <c r="AM138" s="525" t="n"/>
      <c r="AN138" s="525" t="n"/>
      <c r="AO138" s="525" t="n"/>
      <c r="AP138" s="525" t="n"/>
      <c r="AQ138" s="525" t="n"/>
      <c r="AT138" s="526" t="n"/>
      <c r="AU138" s="526" t="n"/>
      <c r="AX138" s="526" t="n"/>
      <c r="AY138" s="526" t="n"/>
      <c r="BR138" s="526" t="n"/>
      <c r="BS138" s="526" t="n"/>
    </row>
    <row r="139">
      <c r="T139" s="525" t="n"/>
      <c r="U139" s="525" t="n"/>
      <c r="V139" s="525" t="n"/>
      <c r="W139" s="525" t="n"/>
      <c r="X139" s="525" t="n"/>
      <c r="Y139" s="525" t="n"/>
      <c r="Z139" s="525" t="n"/>
      <c r="AA139" s="525" t="n"/>
      <c r="AB139" s="525" t="n"/>
      <c r="AC139" s="525" t="n"/>
      <c r="AH139" s="525" t="n"/>
      <c r="AI139" s="525" t="n"/>
      <c r="AJ139" s="525" t="n"/>
      <c r="AK139" s="525" t="n"/>
      <c r="AL139" s="525" t="n"/>
      <c r="AM139" s="525" t="n"/>
      <c r="AN139" s="525" t="n"/>
      <c r="AO139" s="525" t="n"/>
      <c r="AP139" s="525" t="n"/>
      <c r="AQ139" s="525" t="n"/>
      <c r="AT139" s="526" t="n"/>
      <c r="AU139" s="526" t="n"/>
      <c r="AX139" s="526" t="n"/>
      <c r="AY139" s="526" t="n"/>
      <c r="BR139" s="526" t="n"/>
      <c r="BS139" s="526" t="n"/>
    </row>
    <row r="140">
      <c r="T140" s="525" t="n"/>
      <c r="U140" s="525" t="n"/>
      <c r="V140" s="525" t="n"/>
      <c r="W140" s="525" t="n"/>
      <c r="X140" s="525" t="n"/>
      <c r="Y140" s="525" t="n"/>
      <c r="Z140" s="525" t="n"/>
      <c r="AA140" s="525" t="n"/>
      <c r="AB140" s="525" t="n"/>
      <c r="AC140" s="525" t="n"/>
      <c r="AH140" s="525" t="n"/>
      <c r="AI140" s="525" t="n"/>
      <c r="AJ140" s="525" t="n"/>
      <c r="AK140" s="525" t="n"/>
      <c r="AL140" s="525" t="n"/>
      <c r="AM140" s="525" t="n"/>
      <c r="AN140" s="525" t="n"/>
      <c r="AO140" s="525" t="n"/>
      <c r="AP140" s="525" t="n"/>
      <c r="AQ140" s="525" t="n"/>
      <c r="AT140" s="526" t="n"/>
      <c r="AU140" s="526" t="n"/>
      <c r="AX140" s="526" t="n"/>
      <c r="AY140" s="526" t="n"/>
      <c r="BR140" s="526" t="n"/>
      <c r="BS140" s="526" t="n"/>
    </row>
    <row r="141">
      <c r="T141" s="525" t="n"/>
      <c r="U141" s="525" t="n"/>
      <c r="V141" s="525" t="n"/>
      <c r="W141" s="525" t="n"/>
      <c r="X141" s="525" t="n"/>
      <c r="Y141" s="525" t="n"/>
      <c r="Z141" s="525" t="n"/>
      <c r="AA141" s="525" t="n"/>
      <c r="AB141" s="525" t="n"/>
      <c r="AC141" s="525" t="n"/>
      <c r="AH141" s="525" t="n"/>
      <c r="AI141" s="525" t="n"/>
      <c r="AJ141" s="525" t="n"/>
      <c r="AK141" s="525" t="n"/>
      <c r="AL141" s="525" t="n"/>
      <c r="AM141" s="525" t="n"/>
      <c r="AN141" s="525" t="n"/>
      <c r="AO141" s="525" t="n"/>
      <c r="AP141" s="525" t="n"/>
      <c r="AQ141" s="525" t="n"/>
      <c r="AT141" s="526" t="n"/>
      <c r="AU141" s="526" t="n"/>
      <c r="AX141" s="526" t="n"/>
      <c r="AY141" s="526" t="n"/>
      <c r="BR141" s="526" t="n"/>
      <c r="BS141" s="526" t="n"/>
    </row>
    <row r="142">
      <c r="T142" s="525" t="n"/>
      <c r="U142" s="525" t="n"/>
      <c r="V142" s="525" t="n"/>
      <c r="W142" s="525" t="n"/>
      <c r="X142" s="525" t="n"/>
      <c r="Y142" s="525" t="n"/>
      <c r="Z142" s="525" t="n"/>
      <c r="AA142" s="525" t="n"/>
      <c r="AB142" s="525" t="n"/>
      <c r="AC142" s="525" t="n"/>
      <c r="AH142" s="525" t="n"/>
      <c r="AI142" s="525" t="n"/>
      <c r="AJ142" s="525" t="n"/>
      <c r="AK142" s="525" t="n"/>
      <c r="AL142" s="525" t="n"/>
      <c r="AM142" s="525" t="n"/>
      <c r="AN142" s="525" t="n"/>
      <c r="AO142" s="525" t="n"/>
      <c r="AP142" s="525" t="n"/>
      <c r="AQ142" s="525" t="n"/>
      <c r="AT142" s="526" t="n"/>
      <c r="AU142" s="526" t="n"/>
      <c r="AX142" s="526" t="n"/>
      <c r="AY142" s="526" t="n"/>
      <c r="BR142" s="526" t="n"/>
      <c r="BS142" s="526" t="n"/>
    </row>
    <row r="143">
      <c r="T143" s="525" t="n"/>
      <c r="U143" s="525" t="n"/>
      <c r="V143" s="525" t="n"/>
      <c r="W143" s="525" t="n"/>
      <c r="X143" s="525" t="n"/>
      <c r="Y143" s="525" t="n"/>
      <c r="Z143" s="525" t="n"/>
      <c r="AA143" s="525" t="n"/>
      <c r="AB143" s="525" t="n"/>
      <c r="AC143" s="525" t="n"/>
      <c r="AH143" s="525" t="n"/>
      <c r="AI143" s="525" t="n"/>
      <c r="AJ143" s="525" t="n"/>
      <c r="AK143" s="525" t="n"/>
      <c r="AL143" s="525" t="n"/>
      <c r="AM143" s="525" t="n"/>
      <c r="AN143" s="525" t="n"/>
      <c r="AO143" s="525" t="n"/>
      <c r="AP143" s="525" t="n"/>
      <c r="AQ143" s="525" t="n"/>
      <c r="AT143" s="526" t="n"/>
      <c r="AU143" s="526" t="n"/>
      <c r="AX143" s="526" t="n"/>
      <c r="AY143" s="526" t="n"/>
      <c r="BR143" s="526" t="n"/>
      <c r="BS143" s="526" t="n"/>
    </row>
    <row r="144">
      <c r="T144" s="525" t="n"/>
      <c r="U144" s="525" t="n"/>
      <c r="V144" s="525" t="n"/>
      <c r="W144" s="525" t="n"/>
      <c r="X144" s="525" t="n"/>
      <c r="Y144" s="525" t="n"/>
      <c r="Z144" s="525" t="n"/>
      <c r="AA144" s="525" t="n"/>
      <c r="AB144" s="525" t="n"/>
      <c r="AC144" s="525" t="n"/>
      <c r="AH144" s="525" t="n"/>
      <c r="AI144" s="525" t="n"/>
      <c r="AJ144" s="525" t="n"/>
      <c r="AK144" s="525" t="n"/>
      <c r="AL144" s="525" t="n"/>
      <c r="AM144" s="525" t="n"/>
      <c r="AN144" s="525" t="n"/>
      <c r="AO144" s="525" t="n"/>
      <c r="AP144" s="525" t="n"/>
      <c r="AQ144" s="525" t="n"/>
      <c r="AT144" s="526" t="n"/>
      <c r="AU144" s="526" t="n"/>
      <c r="AX144" s="526" t="n"/>
      <c r="AY144" s="526" t="n"/>
      <c r="BR144" s="526" t="n"/>
      <c r="BS144" s="526" t="n"/>
    </row>
    <row r="145">
      <c r="T145" s="525" t="n"/>
      <c r="U145" s="525" t="n"/>
      <c r="V145" s="525" t="n"/>
      <c r="W145" s="525" t="n"/>
      <c r="X145" s="525" t="n"/>
      <c r="Y145" s="525" t="n"/>
      <c r="Z145" s="525" t="n"/>
      <c r="AA145" s="525" t="n"/>
      <c r="AB145" s="525" t="n"/>
      <c r="AC145" s="525" t="n"/>
      <c r="AH145" s="525" t="n"/>
      <c r="AI145" s="525" t="n"/>
      <c r="AJ145" s="525" t="n"/>
      <c r="AK145" s="525" t="n"/>
      <c r="AL145" s="525" t="n"/>
      <c r="AM145" s="525" t="n"/>
      <c r="AN145" s="525" t="n"/>
      <c r="AO145" s="525" t="n"/>
      <c r="AP145" s="525" t="n"/>
      <c r="AQ145" s="525" t="n"/>
      <c r="AT145" s="526" t="n"/>
      <c r="AU145" s="526" t="n"/>
      <c r="AX145" s="526" t="n"/>
      <c r="AY145" s="526" t="n"/>
      <c r="BR145" s="526" t="n"/>
      <c r="BS145" s="526" t="n"/>
    </row>
    <row r="146">
      <c r="T146" s="525" t="n"/>
      <c r="U146" s="525" t="n"/>
      <c r="V146" s="525" t="n"/>
      <c r="W146" s="525" t="n"/>
      <c r="X146" s="525" t="n"/>
      <c r="Y146" s="525" t="n"/>
      <c r="Z146" s="525" t="n"/>
      <c r="AA146" s="525" t="n"/>
      <c r="AB146" s="525" t="n"/>
      <c r="AC146" s="525" t="n"/>
      <c r="AH146" s="525" t="n"/>
      <c r="AI146" s="525" t="n"/>
      <c r="AJ146" s="525" t="n"/>
      <c r="AK146" s="525" t="n"/>
      <c r="AL146" s="525" t="n"/>
      <c r="AM146" s="525" t="n"/>
      <c r="AN146" s="525" t="n"/>
      <c r="AO146" s="525" t="n"/>
      <c r="AP146" s="525" t="n"/>
      <c r="AQ146" s="525" t="n"/>
      <c r="AT146" s="526" t="n"/>
      <c r="AU146" s="526" t="n"/>
      <c r="AX146" s="526" t="n"/>
      <c r="AY146" s="526" t="n"/>
      <c r="BR146" s="526" t="n"/>
      <c r="BS146" s="526" t="n"/>
    </row>
    <row r="147">
      <c r="T147" s="525" t="n"/>
      <c r="U147" s="525" t="n"/>
      <c r="V147" s="525" t="n"/>
      <c r="W147" s="525" t="n"/>
      <c r="X147" s="525" t="n"/>
      <c r="Y147" s="525" t="n"/>
      <c r="Z147" s="525" t="n"/>
      <c r="AA147" s="525" t="n"/>
      <c r="AB147" s="525" t="n"/>
      <c r="AC147" s="525" t="n"/>
      <c r="AH147" s="525" t="n"/>
      <c r="AI147" s="525" t="n"/>
      <c r="AJ147" s="525" t="n"/>
      <c r="AK147" s="525" t="n"/>
      <c r="AL147" s="525" t="n"/>
      <c r="AM147" s="525" t="n"/>
      <c r="AN147" s="525" t="n"/>
      <c r="AO147" s="525" t="n"/>
      <c r="AP147" s="525" t="n"/>
      <c r="AQ147" s="525" t="n"/>
      <c r="AT147" s="526" t="n"/>
      <c r="AU147" s="526" t="n"/>
      <c r="AX147" s="526" t="n"/>
      <c r="AY147" s="526" t="n"/>
      <c r="BR147" s="526" t="n"/>
      <c r="BS147" s="526" t="n"/>
    </row>
    <row r="148">
      <c r="T148" s="525" t="n"/>
      <c r="U148" s="525" t="n"/>
      <c r="V148" s="525" t="n"/>
      <c r="W148" s="525" t="n"/>
      <c r="X148" s="525" t="n"/>
      <c r="Y148" s="525" t="n"/>
      <c r="Z148" s="525" t="n"/>
      <c r="AA148" s="525" t="n"/>
      <c r="AB148" s="525" t="n"/>
      <c r="AC148" s="525" t="n"/>
      <c r="AH148" s="525" t="n"/>
      <c r="AI148" s="525" t="n"/>
      <c r="AJ148" s="525" t="n"/>
      <c r="AK148" s="525" t="n"/>
      <c r="AL148" s="525" t="n"/>
      <c r="AM148" s="525" t="n"/>
      <c r="AN148" s="525" t="n"/>
      <c r="AO148" s="525" t="n"/>
      <c r="AP148" s="525" t="n"/>
      <c r="AQ148" s="525" t="n"/>
      <c r="AT148" s="526" t="n"/>
      <c r="AU148" s="526" t="n"/>
      <c r="AX148" s="526" t="n"/>
      <c r="AY148" s="526" t="n"/>
      <c r="BR148" s="526" t="n"/>
      <c r="BS148" s="526" t="n"/>
    </row>
    <row r="149">
      <c r="T149" s="525" t="n"/>
      <c r="U149" s="525" t="n"/>
      <c r="V149" s="525" t="n"/>
      <c r="W149" s="525" t="n"/>
      <c r="X149" s="525" t="n"/>
      <c r="Y149" s="525" t="n"/>
      <c r="Z149" s="525" t="n"/>
      <c r="AA149" s="525" t="n"/>
      <c r="AB149" s="525" t="n"/>
      <c r="AC149" s="525" t="n"/>
      <c r="AH149" s="525" t="n"/>
      <c r="AI149" s="525" t="n"/>
      <c r="AJ149" s="525" t="n"/>
      <c r="AK149" s="525" t="n"/>
      <c r="AL149" s="525" t="n"/>
      <c r="AM149" s="525" t="n"/>
      <c r="AN149" s="525" t="n"/>
      <c r="AO149" s="525" t="n"/>
      <c r="AP149" s="525" t="n"/>
      <c r="AQ149" s="525" t="n"/>
      <c r="AT149" s="526" t="n"/>
      <c r="AU149" s="526" t="n"/>
      <c r="AX149" s="526" t="n"/>
      <c r="AY149" s="526" t="n"/>
      <c r="BR149" s="526" t="n"/>
      <c r="BS149" s="526" t="n"/>
    </row>
    <row r="150">
      <c r="T150" s="525" t="n"/>
      <c r="U150" s="525" t="n"/>
      <c r="V150" s="525" t="n"/>
      <c r="W150" s="525" t="n"/>
      <c r="X150" s="525" t="n"/>
      <c r="Y150" s="525" t="n"/>
      <c r="Z150" s="525" t="n"/>
      <c r="AA150" s="525" t="n"/>
      <c r="AB150" s="525" t="n"/>
      <c r="AC150" s="525" t="n"/>
      <c r="AH150" s="525" t="n"/>
      <c r="AI150" s="525" t="n"/>
      <c r="AJ150" s="525" t="n"/>
      <c r="AK150" s="525" t="n"/>
      <c r="AL150" s="525" t="n"/>
      <c r="AM150" s="525" t="n"/>
      <c r="AN150" s="525" t="n"/>
      <c r="AO150" s="525" t="n"/>
      <c r="AP150" s="525" t="n"/>
      <c r="AQ150" s="525" t="n"/>
      <c r="AT150" s="526" t="n"/>
      <c r="AU150" s="526" t="n"/>
      <c r="AX150" s="526" t="n"/>
      <c r="AY150" s="526" t="n"/>
      <c r="BR150" s="526" t="n"/>
      <c r="BS150" s="526" t="n"/>
    </row>
    <row r="151">
      <c r="T151" s="525" t="n"/>
      <c r="U151" s="525" t="n"/>
      <c r="V151" s="525" t="n"/>
      <c r="W151" s="525" t="n"/>
      <c r="X151" s="525" t="n"/>
      <c r="Y151" s="525" t="n"/>
      <c r="Z151" s="525" t="n"/>
      <c r="AA151" s="525" t="n"/>
      <c r="AB151" s="525" t="n"/>
      <c r="AC151" s="525" t="n"/>
      <c r="AH151" s="525" t="n"/>
      <c r="AI151" s="525" t="n"/>
      <c r="AJ151" s="525" t="n"/>
      <c r="AK151" s="525" t="n"/>
      <c r="AL151" s="525" t="n"/>
      <c r="AM151" s="525" t="n"/>
      <c r="AN151" s="525" t="n"/>
      <c r="AO151" s="525" t="n"/>
      <c r="AP151" s="525" t="n"/>
      <c r="AQ151" s="525" t="n"/>
      <c r="AT151" s="526" t="n"/>
      <c r="AU151" s="526" t="n"/>
      <c r="AX151" s="526" t="n"/>
      <c r="AY151" s="526" t="n"/>
      <c r="BR151" s="526" t="n"/>
      <c r="BS151" s="526" t="n"/>
    </row>
    <row r="152">
      <c r="T152" s="525" t="n"/>
      <c r="U152" s="525" t="n"/>
      <c r="V152" s="525" t="n"/>
      <c r="W152" s="525" t="n"/>
      <c r="X152" s="525" t="n"/>
      <c r="Y152" s="525" t="n"/>
      <c r="Z152" s="525" t="n"/>
      <c r="AA152" s="525" t="n"/>
      <c r="AB152" s="525" t="n"/>
      <c r="AC152" s="525" t="n"/>
      <c r="AH152" s="525" t="n"/>
      <c r="AI152" s="525" t="n"/>
      <c r="AJ152" s="525" t="n"/>
      <c r="AK152" s="525" t="n"/>
      <c r="AL152" s="525" t="n"/>
      <c r="AM152" s="525" t="n"/>
      <c r="AN152" s="525" t="n"/>
      <c r="AO152" s="525" t="n"/>
      <c r="AP152" s="525" t="n"/>
      <c r="AQ152" s="525" t="n"/>
      <c r="AT152" s="526" t="n"/>
      <c r="AU152" s="526" t="n"/>
      <c r="AX152" s="526" t="n"/>
      <c r="AY152" s="526" t="n"/>
      <c r="BR152" s="526" t="n"/>
      <c r="BS152" s="526" t="n"/>
    </row>
    <row r="153">
      <c r="T153" s="525" t="n"/>
      <c r="U153" s="525" t="n"/>
      <c r="V153" s="525" t="n"/>
      <c r="W153" s="525" t="n"/>
      <c r="X153" s="525" t="n"/>
      <c r="Y153" s="525" t="n"/>
      <c r="Z153" s="525" t="n"/>
      <c r="AA153" s="525" t="n"/>
      <c r="AB153" s="525" t="n"/>
      <c r="AC153" s="525" t="n"/>
      <c r="AH153" s="525" t="n"/>
      <c r="AI153" s="525" t="n"/>
      <c r="AJ153" s="525" t="n"/>
      <c r="AK153" s="525" t="n"/>
      <c r="AL153" s="525" t="n"/>
      <c r="AM153" s="525" t="n"/>
      <c r="AN153" s="525" t="n"/>
      <c r="AO153" s="525" t="n"/>
      <c r="AP153" s="525" t="n"/>
      <c r="AQ153" s="525" t="n"/>
      <c r="AT153" s="526" t="n"/>
      <c r="AU153" s="526" t="n"/>
      <c r="AX153" s="526" t="n"/>
      <c r="AY153" s="526" t="n"/>
      <c r="BR153" s="526" t="n"/>
      <c r="BS153" s="526" t="n"/>
    </row>
    <row r="154">
      <c r="T154" s="525" t="n"/>
      <c r="U154" s="525" t="n"/>
      <c r="V154" s="525" t="n"/>
      <c r="W154" s="525" t="n"/>
      <c r="X154" s="525" t="n"/>
      <c r="Y154" s="525" t="n"/>
      <c r="Z154" s="525" t="n"/>
      <c r="AA154" s="525" t="n"/>
      <c r="AB154" s="525" t="n"/>
      <c r="AC154" s="525" t="n"/>
      <c r="AH154" s="525" t="n"/>
      <c r="AI154" s="525" t="n"/>
      <c r="AJ154" s="525" t="n"/>
      <c r="AK154" s="525" t="n"/>
      <c r="AL154" s="525" t="n"/>
      <c r="AM154" s="525" t="n"/>
      <c r="AN154" s="525" t="n"/>
      <c r="AO154" s="525" t="n"/>
      <c r="AP154" s="525" t="n"/>
      <c r="AQ154" s="525" t="n"/>
      <c r="AT154" s="526" t="n"/>
      <c r="AU154" s="526" t="n"/>
      <c r="AX154" s="526" t="n"/>
      <c r="AY154" s="526" t="n"/>
      <c r="BR154" s="526" t="n"/>
      <c r="BS154" s="526" t="n"/>
    </row>
    <row r="155">
      <c r="T155" s="525" t="n"/>
      <c r="U155" s="525" t="n"/>
      <c r="V155" s="525" t="n"/>
      <c r="W155" s="525" t="n"/>
      <c r="X155" s="525" t="n"/>
      <c r="Y155" s="525" t="n"/>
      <c r="Z155" s="525" t="n"/>
      <c r="AA155" s="525" t="n"/>
      <c r="AB155" s="525" t="n"/>
      <c r="AC155" s="525" t="n"/>
      <c r="AH155" s="525" t="n"/>
      <c r="AI155" s="525" t="n"/>
      <c r="AJ155" s="525" t="n"/>
      <c r="AK155" s="525" t="n"/>
      <c r="AL155" s="525" t="n"/>
      <c r="AM155" s="525" t="n"/>
      <c r="AN155" s="525" t="n"/>
      <c r="AO155" s="525" t="n"/>
      <c r="AP155" s="525" t="n"/>
      <c r="AQ155" s="525" t="n"/>
      <c r="AT155" s="526" t="n"/>
      <c r="AU155" s="526" t="n"/>
      <c r="AX155" s="526" t="n"/>
      <c r="AY155" s="526" t="n"/>
      <c r="BR155" s="526" t="n"/>
      <c r="BS155" s="526" t="n"/>
    </row>
    <row r="156">
      <c r="T156" s="525" t="n"/>
      <c r="U156" s="525" t="n"/>
      <c r="V156" s="525" t="n"/>
      <c r="W156" s="525" t="n"/>
      <c r="X156" s="525" t="n"/>
      <c r="Y156" s="525" t="n"/>
      <c r="Z156" s="525" t="n"/>
      <c r="AA156" s="525" t="n"/>
      <c r="AB156" s="525" t="n"/>
      <c r="AC156" s="525" t="n"/>
      <c r="AH156" s="525" t="n"/>
      <c r="AI156" s="525" t="n"/>
      <c r="AJ156" s="525" t="n"/>
      <c r="AK156" s="525" t="n"/>
      <c r="AL156" s="525" t="n"/>
      <c r="AM156" s="525" t="n"/>
      <c r="AN156" s="525" t="n"/>
      <c r="AO156" s="525" t="n"/>
      <c r="AP156" s="525" t="n"/>
      <c r="AQ156" s="525" t="n"/>
      <c r="AT156" s="526" t="n"/>
      <c r="AU156" s="526" t="n"/>
      <c r="AX156" s="526" t="n"/>
      <c r="AY156" s="526" t="n"/>
      <c r="BR156" s="526" t="n"/>
      <c r="BS156" s="526" t="n"/>
    </row>
    <row r="157">
      <c r="T157" s="525" t="n"/>
      <c r="U157" s="525" t="n"/>
      <c r="V157" s="525" t="n"/>
      <c r="W157" s="525" t="n"/>
      <c r="X157" s="525" t="n"/>
      <c r="Y157" s="525" t="n"/>
      <c r="Z157" s="525" t="n"/>
      <c r="AA157" s="525" t="n"/>
      <c r="AB157" s="525" t="n"/>
      <c r="AC157" s="525" t="n"/>
      <c r="AH157" s="525" t="n"/>
      <c r="AI157" s="525" t="n"/>
      <c r="AJ157" s="525" t="n"/>
      <c r="AK157" s="525" t="n"/>
      <c r="AL157" s="525" t="n"/>
      <c r="AM157" s="525" t="n"/>
      <c r="AN157" s="525" t="n"/>
      <c r="AO157" s="525" t="n"/>
      <c r="AP157" s="525" t="n"/>
      <c r="AQ157" s="525" t="n"/>
      <c r="AT157" s="526" t="n"/>
      <c r="AU157" s="526" t="n"/>
      <c r="AX157" s="526" t="n"/>
      <c r="AY157" s="526" t="n"/>
      <c r="BR157" s="526" t="n"/>
      <c r="BS157" s="526" t="n"/>
    </row>
    <row r="158">
      <c r="T158" s="525" t="n"/>
      <c r="U158" s="525" t="n"/>
      <c r="V158" s="525" t="n"/>
      <c r="W158" s="525" t="n"/>
      <c r="X158" s="525" t="n"/>
      <c r="Y158" s="525" t="n"/>
      <c r="Z158" s="525" t="n"/>
      <c r="AA158" s="525" t="n"/>
      <c r="AB158" s="525" t="n"/>
      <c r="AC158" s="525" t="n"/>
      <c r="AH158" s="525" t="n"/>
      <c r="AI158" s="525" t="n"/>
      <c r="AJ158" s="525" t="n"/>
      <c r="AK158" s="525" t="n"/>
      <c r="AL158" s="525" t="n"/>
      <c r="AM158" s="525" t="n"/>
      <c r="AN158" s="525" t="n"/>
      <c r="AO158" s="525" t="n"/>
      <c r="AP158" s="525" t="n"/>
      <c r="AQ158" s="525" t="n"/>
      <c r="AT158" s="526" t="n"/>
      <c r="AU158" s="526" t="n"/>
      <c r="AX158" s="526" t="n"/>
      <c r="AY158" s="526" t="n"/>
      <c r="BR158" s="526" t="n"/>
      <c r="BS158" s="526" t="n"/>
    </row>
    <row r="159">
      <c r="T159" s="525" t="n"/>
      <c r="U159" s="525" t="n"/>
      <c r="V159" s="525" t="n"/>
      <c r="W159" s="525" t="n"/>
      <c r="X159" s="525" t="n"/>
      <c r="Y159" s="525" t="n"/>
      <c r="Z159" s="525" t="n"/>
      <c r="AA159" s="525" t="n"/>
      <c r="AB159" s="525" t="n"/>
      <c r="AC159" s="525" t="n"/>
      <c r="AH159" s="525" t="n"/>
      <c r="AI159" s="525" t="n"/>
      <c r="AJ159" s="525" t="n"/>
      <c r="AK159" s="525" t="n"/>
      <c r="AL159" s="525" t="n"/>
      <c r="AM159" s="525" t="n"/>
      <c r="AN159" s="525" t="n"/>
      <c r="AO159" s="525" t="n"/>
      <c r="AP159" s="525" t="n"/>
      <c r="AQ159" s="525" t="n"/>
      <c r="AT159" s="526" t="n"/>
      <c r="AU159" s="526" t="n"/>
      <c r="AX159" s="526" t="n"/>
      <c r="AY159" s="526" t="n"/>
      <c r="BR159" s="526" t="n"/>
      <c r="BS159" s="526" t="n"/>
    </row>
    <row r="160">
      <c r="T160" s="525" t="n"/>
      <c r="U160" s="525" t="n"/>
      <c r="V160" s="525" t="n"/>
      <c r="W160" s="525" t="n"/>
      <c r="X160" s="525" t="n"/>
      <c r="Y160" s="525" t="n"/>
      <c r="Z160" s="525" t="n"/>
      <c r="AA160" s="525" t="n"/>
      <c r="AB160" s="525" t="n"/>
      <c r="AC160" s="525" t="n"/>
      <c r="AH160" s="525" t="n"/>
      <c r="AI160" s="525" t="n"/>
      <c r="AJ160" s="525" t="n"/>
      <c r="AK160" s="525" t="n"/>
      <c r="AL160" s="525" t="n"/>
      <c r="AM160" s="525" t="n"/>
      <c r="AN160" s="525" t="n"/>
      <c r="AO160" s="525" t="n"/>
      <c r="AP160" s="525" t="n"/>
      <c r="AQ160" s="525" t="n"/>
      <c r="AT160" s="526" t="n"/>
      <c r="AU160" s="526" t="n"/>
      <c r="AX160" s="526" t="n"/>
      <c r="AY160" s="526" t="n"/>
      <c r="BR160" s="526" t="n"/>
      <c r="BS160" s="526" t="n"/>
    </row>
    <row r="161">
      <c r="T161" s="525" t="n"/>
      <c r="U161" s="525" t="n"/>
      <c r="V161" s="525" t="n"/>
      <c r="W161" s="525" t="n"/>
      <c r="X161" s="525" t="n"/>
      <c r="Y161" s="525" t="n"/>
      <c r="Z161" s="525" t="n"/>
      <c r="AA161" s="525" t="n"/>
      <c r="AB161" s="525" t="n"/>
      <c r="AC161" s="525" t="n"/>
      <c r="AH161" s="525" t="n"/>
      <c r="AI161" s="525" t="n"/>
      <c r="AJ161" s="525" t="n"/>
      <c r="AK161" s="525" t="n"/>
      <c r="AL161" s="525" t="n"/>
      <c r="AM161" s="525" t="n"/>
      <c r="AN161" s="525" t="n"/>
      <c r="AO161" s="525" t="n"/>
      <c r="AP161" s="525" t="n"/>
      <c r="AQ161" s="525" t="n"/>
      <c r="AT161" s="526" t="n"/>
      <c r="AU161" s="526" t="n"/>
      <c r="AX161" s="526" t="n"/>
      <c r="AY161" s="526" t="n"/>
      <c r="BR161" s="526" t="n"/>
      <c r="BS161" s="526" t="n"/>
    </row>
    <row r="162">
      <c r="T162" s="525" t="n"/>
      <c r="U162" s="525" t="n"/>
      <c r="V162" s="525" t="n"/>
      <c r="W162" s="525" t="n"/>
      <c r="X162" s="525" t="n"/>
      <c r="Y162" s="525" t="n"/>
      <c r="Z162" s="525" t="n"/>
      <c r="AA162" s="525" t="n"/>
      <c r="AB162" s="525" t="n"/>
      <c r="AC162" s="525" t="n"/>
      <c r="AH162" s="525" t="n"/>
      <c r="AI162" s="525" t="n"/>
      <c r="AJ162" s="525" t="n"/>
      <c r="AK162" s="525" t="n"/>
      <c r="AL162" s="525" t="n"/>
      <c r="AM162" s="525" t="n"/>
      <c r="AN162" s="525" t="n"/>
      <c r="AO162" s="525" t="n"/>
      <c r="AP162" s="525" t="n"/>
      <c r="AQ162" s="525" t="n"/>
      <c r="AT162" s="526" t="n"/>
      <c r="AU162" s="526" t="n"/>
      <c r="AX162" s="526" t="n"/>
      <c r="AY162" s="526" t="n"/>
      <c r="BR162" s="526" t="n"/>
      <c r="BS162" s="526" t="n"/>
    </row>
    <row r="163">
      <c r="T163" s="525" t="n"/>
      <c r="U163" s="525" t="n"/>
      <c r="V163" s="525" t="n"/>
      <c r="W163" s="525" t="n"/>
      <c r="X163" s="525" t="n"/>
      <c r="Y163" s="525" t="n"/>
      <c r="Z163" s="525" t="n"/>
      <c r="AA163" s="525" t="n"/>
      <c r="AB163" s="525" t="n"/>
      <c r="AC163" s="525" t="n"/>
      <c r="AH163" s="525" t="n"/>
      <c r="AI163" s="525" t="n"/>
      <c r="AJ163" s="525" t="n"/>
      <c r="AK163" s="525" t="n"/>
      <c r="AL163" s="525" t="n"/>
      <c r="AM163" s="525" t="n"/>
      <c r="AN163" s="525" t="n"/>
      <c r="AO163" s="525" t="n"/>
      <c r="AP163" s="525" t="n"/>
      <c r="AQ163" s="525" t="n"/>
      <c r="AT163" s="526" t="n"/>
      <c r="AU163" s="526" t="n"/>
      <c r="AX163" s="526" t="n"/>
      <c r="AY163" s="526" t="n"/>
      <c r="BR163" s="526" t="n"/>
      <c r="BS163" s="526" t="n"/>
    </row>
    <row r="164">
      <c r="T164" s="525" t="n"/>
      <c r="U164" s="525" t="n"/>
      <c r="V164" s="525" t="n"/>
      <c r="W164" s="525" t="n"/>
      <c r="X164" s="525" t="n"/>
      <c r="Y164" s="525" t="n"/>
      <c r="Z164" s="525" t="n"/>
      <c r="AA164" s="525" t="n"/>
      <c r="AB164" s="525" t="n"/>
      <c r="AC164" s="525" t="n"/>
      <c r="AH164" s="525" t="n"/>
      <c r="AI164" s="525" t="n"/>
      <c r="AJ164" s="525" t="n"/>
      <c r="AK164" s="525" t="n"/>
      <c r="AL164" s="525" t="n"/>
      <c r="AM164" s="525" t="n"/>
      <c r="AN164" s="525" t="n"/>
      <c r="AO164" s="525" t="n"/>
      <c r="AP164" s="525" t="n"/>
      <c r="AQ164" s="525" t="n"/>
      <c r="AT164" s="526" t="n"/>
      <c r="AU164" s="526" t="n"/>
      <c r="AX164" s="526" t="n"/>
      <c r="AY164" s="526" t="n"/>
      <c r="BR164" s="526" t="n"/>
      <c r="BS164" s="526" t="n"/>
    </row>
    <row r="165">
      <c r="T165" s="525" t="n"/>
      <c r="U165" s="525" t="n"/>
      <c r="V165" s="525" t="n"/>
      <c r="W165" s="525" t="n"/>
      <c r="X165" s="525" t="n"/>
      <c r="Y165" s="525" t="n"/>
      <c r="Z165" s="525" t="n"/>
      <c r="AA165" s="525" t="n"/>
      <c r="AB165" s="525" t="n"/>
      <c r="AC165" s="525" t="n"/>
      <c r="AH165" s="525" t="n"/>
      <c r="AI165" s="525" t="n"/>
      <c r="AJ165" s="525" t="n"/>
      <c r="AK165" s="525" t="n"/>
      <c r="AL165" s="525" t="n"/>
      <c r="AM165" s="525" t="n"/>
      <c r="AN165" s="525" t="n"/>
      <c r="AO165" s="525" t="n"/>
      <c r="AP165" s="525" t="n"/>
      <c r="AQ165" s="525" t="n"/>
      <c r="AT165" s="526" t="n"/>
      <c r="AU165" s="526" t="n"/>
      <c r="AX165" s="526" t="n"/>
      <c r="AY165" s="526" t="n"/>
      <c r="BR165" s="526" t="n"/>
      <c r="BS165" s="526" t="n"/>
    </row>
    <row r="166">
      <c r="T166" s="525" t="n"/>
      <c r="U166" s="525" t="n"/>
      <c r="V166" s="525" t="n"/>
      <c r="W166" s="525" t="n"/>
      <c r="X166" s="525" t="n"/>
      <c r="Y166" s="525" t="n"/>
      <c r="Z166" s="525" t="n"/>
      <c r="AA166" s="525" t="n"/>
      <c r="AB166" s="525" t="n"/>
      <c r="AC166" s="525" t="n"/>
      <c r="AH166" s="525" t="n"/>
      <c r="AI166" s="525" t="n"/>
      <c r="AJ166" s="525" t="n"/>
      <c r="AK166" s="525" t="n"/>
      <c r="AL166" s="525" t="n"/>
      <c r="AM166" s="525" t="n"/>
      <c r="AN166" s="525" t="n"/>
      <c r="AO166" s="525" t="n"/>
      <c r="AP166" s="525" t="n"/>
      <c r="AQ166" s="525" t="n"/>
      <c r="AT166" s="526" t="n"/>
      <c r="AU166" s="526" t="n"/>
      <c r="AX166" s="526" t="n"/>
      <c r="AY166" s="526" t="n"/>
      <c r="BR166" s="526" t="n"/>
      <c r="BS166" s="526" t="n"/>
    </row>
    <row r="167">
      <c r="T167" s="525" t="n"/>
      <c r="U167" s="525" t="n"/>
      <c r="V167" s="525" t="n"/>
      <c r="W167" s="525" t="n"/>
      <c r="X167" s="525" t="n"/>
      <c r="Y167" s="525" t="n"/>
      <c r="Z167" s="525" t="n"/>
      <c r="AA167" s="525" t="n"/>
      <c r="AB167" s="525" t="n"/>
      <c r="AC167" s="525" t="n"/>
      <c r="AH167" s="525" t="n"/>
      <c r="AI167" s="525" t="n"/>
      <c r="AJ167" s="525" t="n"/>
      <c r="AK167" s="525" t="n"/>
      <c r="AL167" s="525" t="n"/>
      <c r="AM167" s="525" t="n"/>
      <c r="AN167" s="525" t="n"/>
      <c r="AO167" s="525" t="n"/>
      <c r="AP167" s="525" t="n"/>
      <c r="AQ167" s="525" t="n"/>
      <c r="AT167" s="526" t="n"/>
      <c r="AU167" s="526" t="n"/>
      <c r="AX167" s="526" t="n"/>
      <c r="AY167" s="526" t="n"/>
      <c r="BR167" s="526" t="n"/>
      <c r="BS167" s="526" t="n"/>
    </row>
    <row r="168">
      <c r="T168" s="525" t="n"/>
      <c r="U168" s="525" t="n"/>
      <c r="V168" s="525" t="n"/>
      <c r="W168" s="525" t="n"/>
      <c r="X168" s="525" t="n"/>
      <c r="Y168" s="525" t="n"/>
      <c r="Z168" s="525" t="n"/>
      <c r="AA168" s="525" t="n"/>
      <c r="AB168" s="525" t="n"/>
      <c r="AC168" s="525" t="n"/>
      <c r="AH168" s="525" t="n"/>
      <c r="AI168" s="525" t="n"/>
      <c r="AJ168" s="525" t="n"/>
      <c r="AK168" s="525" t="n"/>
      <c r="AL168" s="525" t="n"/>
      <c r="AM168" s="525" t="n"/>
      <c r="AN168" s="525" t="n"/>
      <c r="AO168" s="525" t="n"/>
      <c r="AP168" s="525" t="n"/>
      <c r="AQ168" s="525" t="n"/>
      <c r="AT168" s="526" t="n"/>
      <c r="AU168" s="526" t="n"/>
      <c r="AX168" s="526" t="n"/>
      <c r="AY168" s="526" t="n"/>
      <c r="BR168" s="526" t="n"/>
      <c r="BS168" s="526" t="n"/>
    </row>
    <row r="169">
      <c r="T169" s="525" t="n"/>
      <c r="U169" s="525" t="n"/>
      <c r="V169" s="525" t="n"/>
      <c r="W169" s="525" t="n"/>
      <c r="X169" s="525" t="n"/>
      <c r="Y169" s="525" t="n"/>
      <c r="Z169" s="525" t="n"/>
      <c r="AA169" s="525" t="n"/>
      <c r="AB169" s="525" t="n"/>
      <c r="AC169" s="525" t="n"/>
      <c r="AH169" s="525" t="n"/>
      <c r="AI169" s="525" t="n"/>
      <c r="AJ169" s="525" t="n"/>
      <c r="AK169" s="525" t="n"/>
      <c r="AL169" s="525" t="n"/>
      <c r="AM169" s="525" t="n"/>
      <c r="AN169" s="525" t="n"/>
      <c r="AO169" s="525" t="n"/>
      <c r="AP169" s="525" t="n"/>
      <c r="AQ169" s="525" t="n"/>
      <c r="AT169" s="526" t="n"/>
      <c r="AU169" s="526" t="n"/>
      <c r="AX169" s="526" t="n"/>
      <c r="AY169" s="526" t="n"/>
      <c r="BR169" s="526" t="n"/>
      <c r="BS169" s="526" t="n"/>
    </row>
    <row r="170">
      <c r="T170" s="525" t="n"/>
      <c r="U170" s="525" t="n"/>
      <c r="V170" s="525" t="n"/>
      <c r="W170" s="525" t="n"/>
      <c r="X170" s="525" t="n"/>
      <c r="Y170" s="525" t="n"/>
      <c r="Z170" s="525" t="n"/>
      <c r="AA170" s="525" t="n"/>
      <c r="AB170" s="525" t="n"/>
      <c r="AC170" s="525" t="n"/>
      <c r="AH170" s="525" t="n"/>
      <c r="AI170" s="525" t="n"/>
      <c r="AJ170" s="525" t="n"/>
      <c r="AK170" s="525" t="n"/>
      <c r="AL170" s="525" t="n"/>
      <c r="AM170" s="525" t="n"/>
      <c r="AN170" s="525" t="n"/>
      <c r="AO170" s="525" t="n"/>
      <c r="AP170" s="525" t="n"/>
      <c r="AQ170" s="525" t="n"/>
      <c r="AT170" s="526" t="n"/>
      <c r="AU170" s="526" t="n"/>
      <c r="AX170" s="526" t="n"/>
      <c r="AY170" s="526" t="n"/>
      <c r="BR170" s="526" t="n"/>
      <c r="BS170" s="526" t="n"/>
    </row>
    <row r="171">
      <c r="T171" s="525" t="n"/>
      <c r="U171" s="525" t="n"/>
      <c r="V171" s="525" t="n"/>
      <c r="W171" s="525" t="n"/>
      <c r="X171" s="525" t="n"/>
      <c r="Y171" s="525" t="n"/>
      <c r="Z171" s="525" t="n"/>
      <c r="AA171" s="525" t="n"/>
      <c r="AB171" s="525" t="n"/>
      <c r="AC171" s="525" t="n"/>
      <c r="AH171" s="525" t="n"/>
      <c r="AI171" s="525" t="n"/>
      <c r="AJ171" s="525" t="n"/>
      <c r="AK171" s="525" t="n"/>
      <c r="AL171" s="525" t="n"/>
      <c r="AM171" s="525" t="n"/>
      <c r="AN171" s="525" t="n"/>
      <c r="AO171" s="525" t="n"/>
      <c r="AP171" s="525" t="n"/>
      <c r="AQ171" s="525" t="n"/>
      <c r="AT171" s="526" t="n"/>
      <c r="AU171" s="526" t="n"/>
      <c r="AX171" s="526" t="n"/>
      <c r="AY171" s="526" t="n"/>
      <c r="BR171" s="526" t="n"/>
      <c r="BS171" s="526" t="n"/>
    </row>
    <row r="172">
      <c r="T172" s="525" t="n"/>
      <c r="U172" s="525" t="n"/>
      <c r="V172" s="525" t="n"/>
      <c r="W172" s="525" t="n"/>
      <c r="X172" s="525" t="n"/>
      <c r="Y172" s="525" t="n"/>
      <c r="Z172" s="525" t="n"/>
      <c r="AA172" s="525" t="n"/>
      <c r="AB172" s="525" t="n"/>
      <c r="AC172" s="525" t="n"/>
      <c r="AH172" s="525" t="n"/>
      <c r="AI172" s="525" t="n"/>
      <c r="AJ172" s="525" t="n"/>
      <c r="AK172" s="525" t="n"/>
      <c r="AL172" s="525" t="n"/>
      <c r="AM172" s="525" t="n"/>
      <c r="AN172" s="525" t="n"/>
      <c r="AO172" s="525" t="n"/>
      <c r="AP172" s="525" t="n"/>
      <c r="AQ172" s="525" t="n"/>
      <c r="AT172" s="526" t="n"/>
      <c r="AU172" s="526" t="n"/>
      <c r="AX172" s="526" t="n"/>
      <c r="AY172" s="526" t="n"/>
      <c r="BR172" s="526" t="n"/>
      <c r="BS172" s="526" t="n"/>
    </row>
    <row r="173">
      <c r="T173" s="525" t="n"/>
      <c r="U173" s="525" t="n"/>
      <c r="V173" s="525" t="n"/>
      <c r="W173" s="525" t="n"/>
      <c r="X173" s="525" t="n"/>
      <c r="Y173" s="525" t="n"/>
      <c r="Z173" s="525" t="n"/>
      <c r="AA173" s="525" t="n"/>
      <c r="AB173" s="525" t="n"/>
      <c r="AC173" s="525" t="n"/>
      <c r="AH173" s="525" t="n"/>
      <c r="AI173" s="525" t="n"/>
      <c r="AJ173" s="525" t="n"/>
      <c r="AK173" s="525" t="n"/>
      <c r="AL173" s="525" t="n"/>
      <c r="AM173" s="525" t="n"/>
      <c r="AN173" s="525" t="n"/>
      <c r="AO173" s="525" t="n"/>
      <c r="AP173" s="525" t="n"/>
      <c r="AQ173" s="525" t="n"/>
      <c r="AT173" s="526" t="n"/>
      <c r="AU173" s="526" t="n"/>
      <c r="AX173" s="526" t="n"/>
      <c r="AY173" s="526" t="n"/>
      <c r="BR173" s="526" t="n"/>
      <c r="BS173" s="526" t="n"/>
    </row>
    <row r="174">
      <c r="T174" s="525" t="n"/>
      <c r="U174" s="525" t="n"/>
      <c r="V174" s="525" t="n"/>
      <c r="W174" s="525" t="n"/>
      <c r="X174" s="525" t="n"/>
      <c r="Y174" s="525" t="n"/>
      <c r="Z174" s="525" t="n"/>
      <c r="AA174" s="525" t="n"/>
      <c r="AB174" s="525" t="n"/>
      <c r="AC174" s="525" t="n"/>
      <c r="AH174" s="525" t="n"/>
      <c r="AI174" s="525" t="n"/>
      <c r="AJ174" s="525" t="n"/>
      <c r="AK174" s="525" t="n"/>
      <c r="AL174" s="525" t="n"/>
      <c r="AM174" s="525" t="n"/>
      <c r="AN174" s="525" t="n"/>
      <c r="AO174" s="525" t="n"/>
      <c r="AP174" s="525" t="n"/>
      <c r="AQ174" s="525" t="n"/>
      <c r="AT174" s="526" t="n"/>
      <c r="AU174" s="526" t="n"/>
      <c r="AX174" s="526" t="n"/>
      <c r="AY174" s="526" t="n"/>
      <c r="BR174" s="526" t="n"/>
      <c r="BS174" s="526" t="n"/>
    </row>
    <row r="175">
      <c r="T175" s="525" t="n"/>
      <c r="U175" s="525" t="n"/>
      <c r="V175" s="525" t="n"/>
      <c r="W175" s="525" t="n"/>
      <c r="X175" s="525" t="n"/>
      <c r="Y175" s="525" t="n"/>
      <c r="Z175" s="525" t="n"/>
      <c r="AA175" s="525" t="n"/>
      <c r="AB175" s="525" t="n"/>
      <c r="AC175" s="525" t="n"/>
      <c r="AH175" s="525" t="n"/>
      <c r="AI175" s="525" t="n"/>
      <c r="AJ175" s="525" t="n"/>
      <c r="AK175" s="525" t="n"/>
      <c r="AL175" s="525" t="n"/>
      <c r="AM175" s="525" t="n"/>
      <c r="AN175" s="525" t="n"/>
      <c r="AO175" s="525" t="n"/>
      <c r="AP175" s="525" t="n"/>
      <c r="AQ175" s="525" t="n"/>
      <c r="AT175" s="526" t="n"/>
      <c r="AU175" s="526" t="n"/>
      <c r="AX175" s="526" t="n"/>
      <c r="AY175" s="526" t="n"/>
      <c r="BR175" s="526" t="n"/>
      <c r="BS175" s="526" t="n"/>
    </row>
    <row r="176">
      <c r="T176" s="525" t="n"/>
      <c r="U176" s="525" t="n"/>
      <c r="V176" s="525" t="n"/>
      <c r="W176" s="525" t="n"/>
      <c r="X176" s="525" t="n"/>
      <c r="Y176" s="525" t="n"/>
      <c r="Z176" s="525" t="n"/>
      <c r="AA176" s="525" t="n"/>
      <c r="AB176" s="525" t="n"/>
      <c r="AC176" s="525" t="n"/>
      <c r="AH176" s="525" t="n"/>
      <c r="AI176" s="525" t="n"/>
      <c r="AJ176" s="525" t="n"/>
      <c r="AK176" s="525" t="n"/>
      <c r="AL176" s="525" t="n"/>
      <c r="AM176" s="525" t="n"/>
      <c r="AN176" s="525" t="n"/>
      <c r="AO176" s="525" t="n"/>
      <c r="AP176" s="525" t="n"/>
      <c r="AQ176" s="525" t="n"/>
      <c r="AT176" s="526" t="n"/>
      <c r="AU176" s="526" t="n"/>
      <c r="AX176" s="526" t="n"/>
      <c r="AY176" s="526" t="n"/>
      <c r="BR176" s="526" t="n"/>
      <c r="BS176" s="526" t="n"/>
    </row>
    <row r="177">
      <c r="T177" s="525" t="n"/>
      <c r="U177" s="525" t="n"/>
      <c r="V177" s="525" t="n"/>
      <c r="W177" s="525" t="n"/>
      <c r="X177" s="525" t="n"/>
      <c r="Y177" s="525" t="n"/>
      <c r="Z177" s="525" t="n"/>
      <c r="AA177" s="525" t="n"/>
      <c r="AB177" s="525" t="n"/>
      <c r="AC177" s="525" t="n"/>
      <c r="AH177" s="525" t="n"/>
      <c r="AI177" s="525" t="n"/>
      <c r="AJ177" s="525" t="n"/>
      <c r="AK177" s="525" t="n"/>
      <c r="AL177" s="525" t="n"/>
      <c r="AM177" s="525" t="n"/>
      <c r="AN177" s="525" t="n"/>
      <c r="AO177" s="525" t="n"/>
      <c r="AP177" s="525" t="n"/>
      <c r="AQ177" s="525" t="n"/>
      <c r="AT177" s="526" t="n"/>
      <c r="AU177" s="526" t="n"/>
      <c r="AX177" s="526" t="n"/>
      <c r="AY177" s="526" t="n"/>
      <c r="BR177" s="526" t="n"/>
      <c r="BS177" s="526" t="n"/>
    </row>
    <row r="178">
      <c r="T178" s="525" t="n"/>
      <c r="U178" s="525" t="n"/>
      <c r="V178" s="525" t="n"/>
      <c r="W178" s="525" t="n"/>
      <c r="X178" s="525" t="n"/>
      <c r="Y178" s="525" t="n"/>
      <c r="Z178" s="525" t="n"/>
      <c r="AA178" s="525" t="n"/>
      <c r="AB178" s="525" t="n"/>
      <c r="AC178" s="525" t="n"/>
      <c r="AH178" s="525" t="n"/>
      <c r="AI178" s="525" t="n"/>
      <c r="AJ178" s="525" t="n"/>
      <c r="AK178" s="525" t="n"/>
      <c r="AL178" s="525" t="n"/>
      <c r="AM178" s="525" t="n"/>
      <c r="AN178" s="525" t="n"/>
      <c r="AO178" s="525" t="n"/>
      <c r="AP178" s="525" t="n"/>
      <c r="AQ178" s="525" t="n"/>
      <c r="AT178" s="526" t="n"/>
      <c r="AU178" s="526" t="n"/>
      <c r="AX178" s="526" t="n"/>
      <c r="AY178" s="526" t="n"/>
      <c r="BR178" s="526" t="n"/>
      <c r="BS178" s="526" t="n"/>
    </row>
    <row r="179">
      <c r="T179" s="525" t="n"/>
      <c r="U179" s="525" t="n"/>
      <c r="V179" s="525" t="n"/>
      <c r="W179" s="525" t="n"/>
      <c r="X179" s="525" t="n"/>
      <c r="Y179" s="525" t="n"/>
      <c r="Z179" s="525" t="n"/>
      <c r="AA179" s="525" t="n"/>
      <c r="AB179" s="525" t="n"/>
      <c r="AC179" s="525" t="n"/>
      <c r="AH179" s="525" t="n"/>
      <c r="AI179" s="525" t="n"/>
      <c r="AJ179" s="525" t="n"/>
      <c r="AK179" s="525" t="n"/>
      <c r="AL179" s="525" t="n"/>
      <c r="AM179" s="525" t="n"/>
      <c r="AN179" s="525" t="n"/>
      <c r="AO179" s="525" t="n"/>
      <c r="AP179" s="525" t="n"/>
      <c r="AQ179" s="525" t="n"/>
      <c r="AT179" s="526" t="n"/>
      <c r="AU179" s="526" t="n"/>
      <c r="AX179" s="526" t="n"/>
      <c r="AY179" s="526" t="n"/>
      <c r="BR179" s="526" t="n"/>
      <c r="BS179" s="526" t="n"/>
    </row>
    <row r="180">
      <c r="T180" s="525" t="n"/>
      <c r="U180" s="525" t="n"/>
      <c r="V180" s="525" t="n"/>
      <c r="W180" s="525" t="n"/>
      <c r="X180" s="525" t="n"/>
      <c r="Y180" s="525" t="n"/>
      <c r="Z180" s="525" t="n"/>
      <c r="AA180" s="525" t="n"/>
      <c r="AB180" s="525" t="n"/>
      <c r="AC180" s="525" t="n"/>
      <c r="AH180" s="525" t="n"/>
      <c r="AI180" s="525" t="n"/>
      <c r="AJ180" s="525" t="n"/>
      <c r="AK180" s="525" t="n"/>
      <c r="AL180" s="525" t="n"/>
      <c r="AM180" s="525" t="n"/>
      <c r="AN180" s="525" t="n"/>
      <c r="AO180" s="525" t="n"/>
      <c r="AP180" s="525" t="n"/>
      <c r="AQ180" s="525" t="n"/>
      <c r="AT180" s="526" t="n"/>
      <c r="AU180" s="526" t="n"/>
      <c r="AX180" s="526" t="n"/>
      <c r="AY180" s="526" t="n"/>
      <c r="BR180" s="526" t="n"/>
      <c r="BS180" s="526" t="n"/>
    </row>
    <row r="181">
      <c r="T181" s="525" t="n"/>
      <c r="U181" s="525" t="n"/>
      <c r="V181" s="525" t="n"/>
      <c r="W181" s="525" t="n"/>
      <c r="X181" s="525" t="n"/>
      <c r="Y181" s="525" t="n"/>
      <c r="Z181" s="525" t="n"/>
      <c r="AA181" s="525" t="n"/>
      <c r="AB181" s="525" t="n"/>
      <c r="AC181" s="525" t="n"/>
      <c r="AH181" s="525" t="n"/>
      <c r="AI181" s="525" t="n"/>
      <c r="AJ181" s="525" t="n"/>
      <c r="AK181" s="525" t="n"/>
      <c r="AL181" s="525" t="n"/>
      <c r="AM181" s="525" t="n"/>
      <c r="AN181" s="525" t="n"/>
      <c r="AO181" s="525" t="n"/>
      <c r="AP181" s="525" t="n"/>
      <c r="AQ181" s="525" t="n"/>
      <c r="AT181" s="526" t="n"/>
      <c r="AU181" s="526" t="n"/>
      <c r="AX181" s="526" t="n"/>
      <c r="AY181" s="526" t="n"/>
      <c r="BR181" s="526" t="n"/>
      <c r="BS181" s="526" t="n"/>
    </row>
    <row r="182">
      <c r="T182" s="525" t="n"/>
      <c r="U182" s="525" t="n"/>
      <c r="V182" s="525" t="n"/>
      <c r="W182" s="525" t="n"/>
      <c r="X182" s="525" t="n"/>
      <c r="Y182" s="525" t="n"/>
      <c r="Z182" s="525" t="n"/>
      <c r="AA182" s="525" t="n"/>
      <c r="AB182" s="525" t="n"/>
      <c r="AC182" s="525" t="n"/>
      <c r="AH182" s="525" t="n"/>
      <c r="AI182" s="525" t="n"/>
      <c r="AJ182" s="525" t="n"/>
      <c r="AK182" s="525" t="n"/>
      <c r="AL182" s="525" t="n"/>
      <c r="AM182" s="525" t="n"/>
      <c r="AN182" s="525" t="n"/>
      <c r="AO182" s="525" t="n"/>
      <c r="AP182" s="525" t="n"/>
      <c r="AQ182" s="525" t="n"/>
      <c r="AT182" s="526" t="n"/>
      <c r="AU182" s="526" t="n"/>
      <c r="AX182" s="526" t="n"/>
      <c r="AY182" s="526" t="n"/>
      <c r="BR182" s="526" t="n"/>
      <c r="BS182" s="526" t="n"/>
    </row>
    <row r="183">
      <c r="T183" s="525" t="n"/>
      <c r="U183" s="525" t="n"/>
      <c r="V183" s="525" t="n"/>
      <c r="W183" s="525" t="n"/>
      <c r="X183" s="525" t="n"/>
      <c r="Y183" s="525" t="n"/>
      <c r="Z183" s="525" t="n"/>
      <c r="AA183" s="525" t="n"/>
      <c r="AB183" s="525" t="n"/>
      <c r="AC183" s="525" t="n"/>
      <c r="AH183" s="525" t="n"/>
      <c r="AI183" s="525" t="n"/>
      <c r="AJ183" s="525" t="n"/>
      <c r="AK183" s="525" t="n"/>
      <c r="AL183" s="525" t="n"/>
      <c r="AM183" s="525" t="n"/>
      <c r="AN183" s="525" t="n"/>
      <c r="AO183" s="525" t="n"/>
      <c r="AP183" s="525" t="n"/>
      <c r="AQ183" s="525" t="n"/>
      <c r="AT183" s="526" t="n"/>
      <c r="AU183" s="526" t="n"/>
      <c r="AX183" s="526" t="n"/>
      <c r="AY183" s="526" t="n"/>
      <c r="BR183" s="526" t="n"/>
      <c r="BS183" s="526" t="n"/>
    </row>
    <row r="184">
      <c r="T184" s="525" t="n"/>
      <c r="U184" s="525" t="n"/>
      <c r="V184" s="525" t="n"/>
      <c r="W184" s="525" t="n"/>
      <c r="X184" s="525" t="n"/>
      <c r="Y184" s="525" t="n"/>
      <c r="Z184" s="525" t="n"/>
      <c r="AA184" s="525" t="n"/>
      <c r="AB184" s="525" t="n"/>
      <c r="AC184" s="525" t="n"/>
      <c r="AH184" s="525" t="n"/>
      <c r="AI184" s="525" t="n"/>
      <c r="AJ184" s="525" t="n"/>
      <c r="AK184" s="525" t="n"/>
      <c r="AL184" s="525" t="n"/>
      <c r="AM184" s="525" t="n"/>
      <c r="AN184" s="525" t="n"/>
      <c r="AO184" s="525" t="n"/>
      <c r="AP184" s="525" t="n"/>
      <c r="AQ184" s="525" t="n"/>
      <c r="AT184" s="526" t="n"/>
      <c r="AU184" s="526" t="n"/>
      <c r="AX184" s="526" t="n"/>
      <c r="AY184" s="526" t="n"/>
      <c r="BR184" s="526" t="n"/>
      <c r="BS184" s="526" t="n"/>
    </row>
    <row r="185">
      <c r="T185" s="525" t="n"/>
      <c r="U185" s="525" t="n"/>
      <c r="V185" s="525" t="n"/>
      <c r="W185" s="525" t="n"/>
      <c r="X185" s="525" t="n"/>
      <c r="Y185" s="525" t="n"/>
      <c r="Z185" s="525" t="n"/>
      <c r="AA185" s="525" t="n"/>
      <c r="AB185" s="525" t="n"/>
      <c r="AC185" s="525" t="n"/>
      <c r="AH185" s="525" t="n"/>
      <c r="AI185" s="525" t="n"/>
      <c r="AJ185" s="525" t="n"/>
      <c r="AK185" s="525" t="n"/>
      <c r="AL185" s="525" t="n"/>
      <c r="AM185" s="525" t="n"/>
      <c r="AN185" s="525" t="n"/>
      <c r="AO185" s="525" t="n"/>
      <c r="AP185" s="525" t="n"/>
      <c r="AQ185" s="525" t="n"/>
    </row>
    <row r="186">
      <c r="T186" s="525" t="n"/>
      <c r="U186" s="525" t="n"/>
      <c r="V186" s="525" t="n"/>
      <c r="W186" s="525" t="n"/>
      <c r="X186" s="525" t="n"/>
      <c r="Y186" s="525" t="n"/>
      <c r="Z186" s="525" t="n"/>
      <c r="AA186" s="525" t="n"/>
      <c r="AB186" s="525" t="n"/>
      <c r="AC186" s="525" t="n"/>
      <c r="AH186" s="525" t="n"/>
      <c r="AI186" s="525" t="n"/>
      <c r="AJ186" s="525" t="n"/>
      <c r="AK186" s="525" t="n"/>
      <c r="AL186" s="525" t="n"/>
      <c r="AM186" s="525" t="n"/>
      <c r="AN186" s="525" t="n"/>
      <c r="AO186" s="525" t="n"/>
      <c r="AP186" s="525" t="n"/>
      <c r="AQ186" s="525" t="n"/>
    </row>
    <row r="187">
      <c r="T187" s="525" t="n"/>
      <c r="U187" s="525" t="n"/>
      <c r="V187" s="525" t="n"/>
      <c r="W187" s="525" t="n"/>
      <c r="X187" s="525" t="n"/>
      <c r="Y187" s="525" t="n"/>
      <c r="Z187" s="525" t="n"/>
      <c r="AA187" s="525" t="n"/>
      <c r="AB187" s="525" t="n"/>
      <c r="AC187" s="525" t="n"/>
      <c r="AH187" s="525" t="n"/>
      <c r="AI187" s="525" t="n"/>
      <c r="AJ187" s="525" t="n"/>
      <c r="AK187" s="525" t="n"/>
      <c r="AL187" s="525" t="n"/>
      <c r="AM187" s="525" t="n"/>
      <c r="AN187" s="525" t="n"/>
      <c r="AO187" s="525" t="n"/>
      <c r="AP187" s="525" t="n"/>
      <c r="AQ187" s="525" t="n"/>
    </row>
    <row r="188">
      <c r="T188" s="525" t="n"/>
      <c r="U188" s="525" t="n"/>
      <c r="V188" s="525" t="n"/>
      <c r="W188" s="525" t="n"/>
      <c r="X188" s="525" t="n"/>
      <c r="Y188" s="525" t="n"/>
      <c r="Z188" s="525" t="n"/>
      <c r="AA188" s="525" t="n"/>
      <c r="AB188" s="525" t="n"/>
      <c r="AC188" s="525" t="n"/>
      <c r="AH188" s="525" t="n"/>
      <c r="AI188" s="525" t="n"/>
      <c r="AJ188" s="525" t="n"/>
      <c r="AK188" s="525" t="n"/>
      <c r="AL188" s="525" t="n"/>
      <c r="AM188" s="525" t="n"/>
      <c r="AN188" s="525" t="n"/>
      <c r="AO188" s="525" t="n"/>
      <c r="AP188" s="525" t="n"/>
      <c r="AQ188" s="525" t="n"/>
    </row>
    <row r="189">
      <c r="T189" s="525" t="n"/>
      <c r="U189" s="525" t="n"/>
      <c r="V189" s="525" t="n"/>
      <c r="W189" s="525" t="n"/>
      <c r="X189" s="525" t="n"/>
      <c r="Y189" s="525" t="n"/>
      <c r="Z189" s="525" t="n"/>
      <c r="AA189" s="525" t="n"/>
      <c r="AB189" s="525" t="n"/>
      <c r="AC189" s="525" t="n"/>
      <c r="AH189" s="525" t="n"/>
      <c r="AI189" s="525" t="n"/>
      <c r="AJ189" s="525" t="n"/>
      <c r="AK189" s="525" t="n"/>
      <c r="AL189" s="525" t="n"/>
      <c r="AM189" s="525" t="n"/>
      <c r="AN189" s="525" t="n"/>
      <c r="AO189" s="525" t="n"/>
      <c r="AP189" s="525" t="n"/>
      <c r="AQ189" s="525" t="n"/>
    </row>
    <row r="190">
      <c r="T190" s="525" t="n"/>
      <c r="U190" s="525" t="n"/>
      <c r="V190" s="525" t="n"/>
      <c r="W190" s="525" t="n"/>
      <c r="X190" s="525" t="n"/>
      <c r="Y190" s="525" t="n"/>
      <c r="Z190" s="525" t="n"/>
      <c r="AA190" s="525" t="n"/>
      <c r="AB190" s="525" t="n"/>
      <c r="AC190" s="525" t="n"/>
      <c r="AH190" s="525" t="n"/>
      <c r="AI190" s="525" t="n"/>
      <c r="AJ190" s="525" t="n"/>
      <c r="AK190" s="525" t="n"/>
      <c r="AL190" s="525" t="n"/>
      <c r="AM190" s="525" t="n"/>
      <c r="AN190" s="525" t="n"/>
      <c r="AO190" s="525" t="n"/>
      <c r="AP190" s="525" t="n"/>
      <c r="AQ190" s="525" t="n"/>
    </row>
    <row r="191">
      <c r="T191" s="525" t="n"/>
      <c r="U191" s="525" t="n"/>
      <c r="V191" s="525" t="n"/>
      <c r="W191" s="525" t="n"/>
      <c r="X191" s="525" t="n"/>
      <c r="Y191" s="525" t="n"/>
      <c r="Z191" s="525" t="n"/>
      <c r="AA191" s="525" t="n"/>
      <c r="AB191" s="525" t="n"/>
      <c r="AC191" s="525" t="n"/>
      <c r="AH191" s="525" t="n"/>
      <c r="AI191" s="525" t="n"/>
      <c r="AJ191" s="525" t="n"/>
      <c r="AK191" s="525" t="n"/>
      <c r="AL191" s="525" t="n"/>
      <c r="AM191" s="525" t="n"/>
      <c r="AN191" s="525" t="n"/>
      <c r="AO191" s="525" t="n"/>
      <c r="AP191" s="525" t="n"/>
      <c r="AQ191" s="525" t="n"/>
    </row>
    <row r="192">
      <c r="T192" s="525" t="n"/>
      <c r="U192" s="525" t="n"/>
      <c r="V192" s="525" t="n"/>
      <c r="W192" s="525" t="n"/>
      <c r="X192" s="525" t="n"/>
      <c r="Y192" s="525" t="n"/>
      <c r="Z192" s="525" t="n"/>
      <c r="AA192" s="525" t="n"/>
      <c r="AB192" s="525" t="n"/>
      <c r="AC192" s="525" t="n"/>
      <c r="AH192" s="525" t="n"/>
      <c r="AI192" s="525" t="n"/>
      <c r="AJ192" s="525" t="n"/>
      <c r="AK192" s="525" t="n"/>
      <c r="AL192" s="525" t="n"/>
      <c r="AM192" s="525" t="n"/>
      <c r="AN192" s="525" t="n"/>
      <c r="AO192" s="525" t="n"/>
      <c r="AP192" s="525" t="n"/>
      <c r="AQ192" s="525" t="n"/>
    </row>
    <row r="193">
      <c r="T193" s="525" t="n"/>
      <c r="U193" s="525" t="n"/>
      <c r="V193" s="525" t="n"/>
      <c r="W193" s="525" t="n"/>
      <c r="X193" s="525" t="n"/>
      <c r="Y193" s="525" t="n"/>
      <c r="Z193" s="525" t="n"/>
      <c r="AA193" s="525" t="n"/>
      <c r="AB193" s="525" t="n"/>
      <c r="AC193" s="525" t="n"/>
      <c r="AH193" s="525" t="n"/>
      <c r="AI193" s="525" t="n"/>
      <c r="AJ193" s="525" t="n"/>
      <c r="AK193" s="525" t="n"/>
      <c r="AL193" s="525" t="n"/>
      <c r="AM193" s="525" t="n"/>
      <c r="AN193" s="525" t="n"/>
      <c r="AO193" s="525" t="n"/>
      <c r="AP193" s="525" t="n"/>
      <c r="AQ193" s="525" t="n"/>
    </row>
    <row r="194">
      <c r="T194" s="525" t="n"/>
      <c r="U194" s="525" t="n"/>
      <c r="V194" s="525" t="n"/>
      <c r="W194" s="525" t="n"/>
      <c r="X194" s="525" t="n"/>
      <c r="Y194" s="525" t="n"/>
      <c r="Z194" s="525" t="n"/>
      <c r="AA194" s="525" t="n"/>
      <c r="AB194" s="525" t="n"/>
      <c r="AC194" s="525" t="n"/>
      <c r="AH194" s="525" t="n"/>
      <c r="AI194" s="525" t="n"/>
      <c r="AJ194" s="525" t="n"/>
      <c r="AK194" s="525" t="n"/>
      <c r="AL194" s="525" t="n"/>
      <c r="AM194" s="525" t="n"/>
      <c r="AN194" s="525" t="n"/>
      <c r="AO194" s="525" t="n"/>
      <c r="AP194" s="525" t="n"/>
      <c r="AQ194" s="525" t="n"/>
    </row>
    <row r="195">
      <c r="T195" s="525" t="n"/>
      <c r="U195" s="525" t="n"/>
      <c r="V195" s="525" t="n"/>
      <c r="W195" s="525" t="n"/>
      <c r="X195" s="525" t="n"/>
      <c r="Y195" s="525" t="n"/>
      <c r="Z195" s="525" t="n"/>
      <c r="AA195" s="525" t="n"/>
      <c r="AB195" s="525" t="n"/>
      <c r="AC195" s="525" t="n"/>
      <c r="AH195" s="525" t="n"/>
      <c r="AI195" s="525" t="n"/>
      <c r="AJ195" s="525" t="n"/>
      <c r="AK195" s="525" t="n"/>
      <c r="AL195" s="525" t="n"/>
      <c r="AM195" s="525" t="n"/>
      <c r="AN195" s="525" t="n"/>
      <c r="AO195" s="525" t="n"/>
      <c r="AP195" s="525" t="n"/>
      <c r="AQ195" s="525" t="n"/>
    </row>
    <row r="196">
      <c r="T196" s="525" t="n"/>
      <c r="U196" s="525" t="n"/>
      <c r="V196" s="525" t="n"/>
      <c r="W196" s="525" t="n"/>
      <c r="X196" s="525" t="n"/>
      <c r="Y196" s="525" t="n"/>
      <c r="Z196" s="525" t="n"/>
      <c r="AA196" s="525" t="n"/>
      <c r="AB196" s="525" t="n"/>
      <c r="AC196" s="525" t="n"/>
      <c r="AH196" s="525" t="n"/>
      <c r="AI196" s="525" t="n"/>
      <c r="AJ196" s="525" t="n"/>
      <c r="AK196" s="525" t="n"/>
      <c r="AL196" s="525" t="n"/>
      <c r="AM196" s="525" t="n"/>
      <c r="AN196" s="525" t="n"/>
      <c r="AO196" s="525" t="n"/>
      <c r="AP196" s="525" t="n"/>
      <c r="AQ196" s="525" t="n"/>
    </row>
    <row r="197">
      <c r="T197" s="525" t="n"/>
      <c r="U197" s="525" t="n"/>
      <c r="V197" s="525" t="n"/>
      <c r="W197" s="525" t="n"/>
      <c r="X197" s="525" t="n"/>
      <c r="Y197" s="525" t="n"/>
      <c r="Z197" s="525" t="n"/>
      <c r="AA197" s="525" t="n"/>
      <c r="AB197" s="525" t="n"/>
      <c r="AC197" s="525" t="n"/>
      <c r="AH197" s="525" t="n"/>
      <c r="AI197" s="525" t="n"/>
      <c r="AJ197" s="525" t="n"/>
      <c r="AK197" s="525" t="n"/>
      <c r="AL197" s="525" t="n"/>
      <c r="AM197" s="525" t="n"/>
      <c r="AN197" s="525" t="n"/>
      <c r="AO197" s="525" t="n"/>
      <c r="AP197" s="525" t="n"/>
      <c r="AQ197" s="525" t="n"/>
    </row>
    <row r="198">
      <c r="T198" s="525" t="n"/>
      <c r="U198" s="525" t="n"/>
      <c r="V198" s="525" t="n"/>
      <c r="W198" s="525" t="n"/>
      <c r="X198" s="525" t="n"/>
      <c r="Y198" s="525" t="n"/>
      <c r="Z198" s="525" t="n"/>
      <c r="AA198" s="525" t="n"/>
      <c r="AB198" s="525" t="n"/>
      <c r="AC198" s="525" t="n"/>
      <c r="AH198" s="525" t="n"/>
      <c r="AI198" s="525" t="n"/>
      <c r="AJ198" s="525" t="n"/>
      <c r="AK198" s="525" t="n"/>
      <c r="AL198" s="525" t="n"/>
      <c r="AM198" s="525" t="n"/>
      <c r="AN198" s="525" t="n"/>
      <c r="AO198" s="525" t="n"/>
      <c r="AP198" s="525" t="n"/>
      <c r="AQ198" s="525" t="n"/>
    </row>
    <row r="199">
      <c r="T199" s="525" t="n"/>
      <c r="U199" s="525" t="n"/>
      <c r="V199" s="525" t="n"/>
      <c r="W199" s="525" t="n"/>
      <c r="X199" s="525" t="n"/>
      <c r="Y199" s="525" t="n"/>
      <c r="Z199" s="525" t="n"/>
      <c r="AA199" s="525" t="n"/>
      <c r="AB199" s="525" t="n"/>
      <c r="AC199" s="525" t="n"/>
      <c r="AH199" s="525" t="n"/>
      <c r="AI199" s="525" t="n"/>
      <c r="AJ199" s="525" t="n"/>
      <c r="AK199" s="525" t="n"/>
      <c r="AL199" s="525" t="n"/>
      <c r="AM199" s="525" t="n"/>
      <c r="AN199" s="525" t="n"/>
      <c r="AO199" s="525" t="n"/>
      <c r="AP199" s="525" t="n"/>
      <c r="AQ199" s="525" t="n"/>
    </row>
    <row r="200">
      <c r="T200" s="525" t="n"/>
      <c r="U200" s="525" t="n"/>
      <c r="V200" s="525" t="n"/>
      <c r="W200" s="525" t="n"/>
      <c r="X200" s="525" t="n"/>
      <c r="Y200" s="525" t="n"/>
      <c r="Z200" s="525" t="n"/>
      <c r="AA200" s="525" t="n"/>
      <c r="AB200" s="525" t="n"/>
      <c r="AC200" s="525" t="n"/>
      <c r="AH200" s="525" t="n"/>
      <c r="AI200" s="525" t="n"/>
      <c r="AJ200" s="525" t="n"/>
      <c r="AK200" s="525" t="n"/>
      <c r="AL200" s="525" t="n"/>
      <c r="AM200" s="525" t="n"/>
      <c r="AN200" s="525" t="n"/>
      <c r="AO200" s="525" t="n"/>
      <c r="AP200" s="525" t="n"/>
      <c r="AQ200" s="525" t="n"/>
    </row>
  </sheetData>
  <mergeCells count="24">
    <mergeCell ref="F1:M3"/>
    <mergeCell ref="F4:F7"/>
    <mergeCell ref="G4:M4"/>
    <mergeCell ref="P1:Q1"/>
    <mergeCell ref="A1:E3"/>
    <mergeCell ref="A12:A33"/>
    <mergeCell ref="AD1:AE1"/>
    <mergeCell ref="A34:D34"/>
    <mergeCell ref="AH1:AI1"/>
    <mergeCell ref="AN1:AO1"/>
    <mergeCell ref="G6:G7"/>
    <mergeCell ref="AP1:AQ1"/>
    <mergeCell ref="AX1:BA1"/>
    <mergeCell ref="A9:A11"/>
    <mergeCell ref="A4:E7"/>
    <mergeCell ref="T1:AA1"/>
    <mergeCell ref="BP1:BQ1"/>
    <mergeCell ref="H35:M35"/>
    <mergeCell ref="AF1:AG1"/>
    <mergeCell ref="AJ1:AK1"/>
    <mergeCell ref="AL1:AM1"/>
    <mergeCell ref="AR1:AS1"/>
    <mergeCell ref="AT1:AU1"/>
    <mergeCell ref="R1:S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徐钢">
    <outlinePr summaryBelow="1" summaryRight="1"/>
    <pageSetUpPr/>
  </sheetPr>
  <dimension ref="A1:N200"/>
  <sheetViews>
    <sheetView tabSelected="1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" customWidth="1" style="3" min="11" max="11"/>
    <col width="9" customWidth="1" style="440" min="12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3" t="inlineStr">
        <is>
          <t>网价[2026-04-30]</t>
        </is>
      </c>
      <c r="H1" s="396" t="n">
        <v>1</v>
      </c>
      <c r="I1" s="530" t="n"/>
      <c r="J1" s="398" t="n">
        <v>1</v>
      </c>
      <c r="K1" s="86" t="n"/>
      <c r="L1" s="88" t="n"/>
      <c r="M1" s="9" t="n"/>
      <c r="N1" s="376" t="n"/>
    </row>
    <row r="2" ht="14.25" customHeight="1" s="527">
      <c r="A2" s="11" t="inlineStr">
        <is>
          <t>钢材询价表（徐钢）</t>
        </is>
      </c>
      <c r="F2" s="513" t="inlineStr">
        <is>
          <t>高线10基价</t>
        </is>
      </c>
      <c r="G2" s="234" t="n"/>
      <c r="H2" s="234" t="n"/>
      <c r="I2" s="401" t="n"/>
      <c r="J2" s="399" t="n"/>
      <c r="K2" s="106" t="n"/>
      <c r="L2" s="96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3540</v>
      </c>
      <c r="H3" s="400" t="n">
        <v>3360</v>
      </c>
      <c r="I3" s="401" t="n"/>
      <c r="J3" s="402" t="n"/>
      <c r="K3" s="106" t="n"/>
      <c r="L3" s="194" t="n"/>
      <c r="M3" s="9" t="n"/>
      <c r="N3" s="376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3400</v>
      </c>
      <c r="H4" s="400" t="n">
        <v>3190</v>
      </c>
      <c r="I4" s="401" t="n"/>
      <c r="J4" s="402" t="n"/>
      <c r="K4" s="106" t="n"/>
      <c r="L4" s="194" t="n"/>
      <c r="M4" s="9" t="n"/>
      <c r="N4" s="376" t="n"/>
    </row>
    <row r="5" ht="14.25" customHeight="1" s="527">
      <c r="E5" s="533" t="n"/>
      <c r="F5" s="21" t="inlineStr">
        <is>
          <t>不开票运费</t>
        </is>
      </c>
      <c r="G5" s="241" t="n"/>
      <c r="H5" s="241" t="n"/>
      <c r="I5" s="401" t="n"/>
      <c r="J5" s="403" t="n"/>
      <c r="K5" s="106" t="n"/>
      <c r="L5" s="194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243" t="n"/>
      <c r="H6" s="243" t="n">
        <v>0</v>
      </c>
      <c r="I6" s="401" t="inlineStr">
        <is>
          <t>/</t>
        </is>
      </c>
      <c r="J6" s="404" t="n">
        <v>0</v>
      </c>
      <c r="K6" s="106" t="inlineStr">
        <is>
          <t>/</t>
        </is>
      </c>
      <c r="L6" s="194" t="n">
        <v>0</v>
      </c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43" t="n"/>
      <c r="H7" s="243" t="n">
        <v>0</v>
      </c>
      <c r="I7" s="401" t="inlineStr">
        <is>
          <t>/</t>
        </is>
      </c>
      <c r="J7" s="404" t="n">
        <v>0</v>
      </c>
      <c r="K7" s="106" t="inlineStr">
        <is>
          <t>/</t>
        </is>
      </c>
      <c r="L7" s="194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245" t="inlineStr">
        <is>
          <t>合肥市场网价</t>
        </is>
      </c>
      <c r="H8" s="234" t="inlineStr">
        <is>
          <t>闽曜</t>
        </is>
      </c>
      <c r="I8" s="401" t="inlineStr">
        <is>
          <t>网差</t>
        </is>
      </c>
      <c r="J8" s="399" t="inlineStr">
        <is>
          <t>闽曜</t>
        </is>
      </c>
      <c r="K8" s="106" t="inlineStr">
        <is>
          <t>网差</t>
        </is>
      </c>
      <c r="L8" s="108" t="inlineStr">
        <is>
          <t>极差</t>
        </is>
      </c>
      <c r="M8" s="376" t="inlineStr">
        <is>
          <t>件重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405" t="n"/>
      <c r="H9" s="321" t="n"/>
      <c r="I9" s="310" t="n"/>
      <c r="J9" s="36" t="n"/>
      <c r="K9" s="110" t="n"/>
      <c r="L9" s="125" t="n"/>
      <c r="M9" s="108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405" t="n"/>
      <c r="H10" s="321" t="n"/>
      <c r="I10" s="310" t="n"/>
      <c r="J10" s="36" t="n"/>
      <c r="K10" s="110" t="n"/>
      <c r="L10" s="125" t="n"/>
      <c r="M10" s="108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405" t="n"/>
      <c r="H11" s="321" t="n"/>
      <c r="I11" s="310" t="n"/>
      <c r="J11" s="36" t="n"/>
      <c r="K11" s="110" t="n"/>
      <c r="L11" s="125" t="n"/>
      <c r="M11" s="114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405">
        <f>G3+300+G6</f>
        <v/>
      </c>
      <c r="H12" s="321">
        <f>H3+H6+H7+300</f>
        <v/>
      </c>
      <c r="I12" s="310">
        <f>G12-H12</f>
        <v/>
      </c>
      <c r="J12" s="36">
        <f>J3+J6+J7+300</f>
        <v/>
      </c>
      <c r="K12" s="110">
        <f>G12-J12</f>
        <v/>
      </c>
      <c r="L12" s="125">
        <f>L3+L6+L7+300</f>
        <v/>
      </c>
      <c r="M12" s="108" t="n"/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405">
        <f>G3+G6+G7</f>
        <v/>
      </c>
      <c r="H13" s="321">
        <f>H3+H6+H7</f>
        <v/>
      </c>
      <c r="I13" s="310">
        <f>G13-H13</f>
        <v/>
      </c>
      <c r="J13" s="36">
        <f>J3+J6+J7</f>
        <v/>
      </c>
      <c r="K13" s="110">
        <f>G13-J13</f>
        <v/>
      </c>
      <c r="L13" s="125">
        <f>L3+L6+L7</f>
        <v/>
      </c>
      <c r="M13" s="194" t="n"/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406">
        <f>G3+G6+G7</f>
        <v/>
      </c>
      <c r="H14" s="407">
        <f>H3+H6+H7</f>
        <v/>
      </c>
      <c r="I14" s="360">
        <f>G14-H14</f>
        <v/>
      </c>
      <c r="J14" s="118">
        <f>J3+J6+J7</f>
        <v/>
      </c>
      <c r="K14" s="120">
        <f>G14-J14</f>
        <v/>
      </c>
      <c r="L14" s="220">
        <f>L3+L6+L7</f>
        <v/>
      </c>
      <c r="M14" s="124" t="n"/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405" t="n"/>
      <c r="H15" s="321">
        <f>H3+H6+50</f>
        <v/>
      </c>
      <c r="I15" s="360" t="n"/>
      <c r="J15" s="36">
        <f>J3+J6+50</f>
        <v/>
      </c>
      <c r="K15" s="120" t="n"/>
      <c r="L15" s="125" t="n">
        <v>50</v>
      </c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405">
        <f>G4+G6+G7+100</f>
        <v/>
      </c>
      <c r="H16" s="321">
        <f>H4+60+H6+H7-10</f>
        <v/>
      </c>
      <c r="I16" s="310">
        <f>G16-H16</f>
        <v/>
      </c>
      <c r="J16" s="36">
        <f>J4+60+J6+J7</f>
        <v/>
      </c>
      <c r="K16" s="110">
        <f>G16-J16</f>
        <v/>
      </c>
      <c r="L16" s="125" t="n">
        <v>50</v>
      </c>
      <c r="M16" s="194" t="n">
        <v>1.998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405">
        <f>G4+G6+G7+100</f>
        <v/>
      </c>
      <c r="H17" s="321">
        <f>H4+H6+60+H7-10</f>
        <v/>
      </c>
      <c r="I17" s="310">
        <f>G17-H17</f>
        <v/>
      </c>
      <c r="J17" s="36">
        <f>J4+J6+60+J7</f>
        <v/>
      </c>
      <c r="K17" s="110">
        <f>G17-J17</f>
        <v/>
      </c>
      <c r="L17" s="125" t="n">
        <v>50</v>
      </c>
      <c r="M17" s="194" t="n">
        <v>2.131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405">
        <f>G4+G6+G7+50</f>
        <v/>
      </c>
      <c r="H18" s="321">
        <f>H4+H6+H7+50</f>
        <v/>
      </c>
      <c r="I18" s="310">
        <f>G18-H18</f>
        <v/>
      </c>
      <c r="J18" s="36">
        <f>J4+J6+J7+50</f>
        <v/>
      </c>
      <c r="K18" s="110">
        <f>G18-J18</f>
        <v/>
      </c>
      <c r="L18" s="125" t="n">
        <v>50</v>
      </c>
      <c r="M18" s="194" t="n">
        <v>1.96</v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405">
        <f>G4+G6+G7+50</f>
        <v/>
      </c>
      <c r="H19" s="321">
        <f>H4+H6+H7+50</f>
        <v/>
      </c>
      <c r="I19" s="310">
        <f>G19-H19</f>
        <v/>
      </c>
      <c r="J19" s="36">
        <f>J4+J6+J7+50</f>
        <v/>
      </c>
      <c r="K19" s="110">
        <f>G19-J19</f>
        <v/>
      </c>
      <c r="L19" s="125" t="n">
        <v>50</v>
      </c>
      <c r="M19" s="194" t="n">
        <v>2.468</v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408">
        <f>G4+G6+G7+30+20</f>
        <v/>
      </c>
      <c r="H20" s="321">
        <f>H4+H6+30+H7+10</f>
        <v/>
      </c>
      <c r="I20" s="310">
        <f>G20-H20</f>
        <v/>
      </c>
      <c r="J20" s="36">
        <f>J4+J6+30+J7</f>
        <v/>
      </c>
      <c r="K20" s="110">
        <f>G20-J20</f>
        <v/>
      </c>
      <c r="L20" s="125" t="n">
        <v>40</v>
      </c>
      <c r="M20" s="194" t="n">
        <v>1.991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408">
        <f>G4+G6+G7+30+20</f>
        <v/>
      </c>
      <c r="H21" s="321">
        <f>H4+H6+30+H7+10</f>
        <v/>
      </c>
      <c r="I21" s="310">
        <f>G21-H21</f>
        <v/>
      </c>
      <c r="J21" s="36">
        <f>J4+J6+30+J7</f>
        <v/>
      </c>
      <c r="K21" s="110">
        <f>G21-J21</f>
        <v/>
      </c>
      <c r="L21" s="125" t="n">
        <v>40</v>
      </c>
      <c r="M21" s="194" t="n">
        <v>2.465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409">
        <f>G4+G6+G7</f>
        <v/>
      </c>
      <c r="H22" s="407">
        <f>H4+H6+H7+30</f>
        <v/>
      </c>
      <c r="I22" s="360">
        <f>G22-H22</f>
        <v/>
      </c>
      <c r="J22" s="118">
        <f>J4+J6+J7</f>
        <v/>
      </c>
      <c r="K22" s="120">
        <f>G22-J22</f>
        <v/>
      </c>
      <c r="L22" s="220" t="n">
        <v>30</v>
      </c>
      <c r="M22" s="124" t="n">
        <v>1.98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409">
        <f>G4+G6+G7</f>
        <v/>
      </c>
      <c r="H23" s="407">
        <f>H4+H6+H7+30</f>
        <v/>
      </c>
      <c r="I23" s="360">
        <f>G23-H23</f>
        <v/>
      </c>
      <c r="J23" s="118">
        <f>J4+J6+J7</f>
        <v/>
      </c>
      <c r="K23" s="120">
        <f>G23-J23</f>
        <v/>
      </c>
      <c r="L23" s="220" t="n">
        <v>30</v>
      </c>
      <c r="M23" s="124" t="n">
        <v>2.4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408">
        <f>G4+G6+G7+30+20</f>
        <v/>
      </c>
      <c r="H24" s="321">
        <f>H4+H6+30+H7+10</f>
        <v/>
      </c>
      <c r="I24" s="310">
        <f>G24-H24</f>
        <v/>
      </c>
      <c r="J24" s="36">
        <f>J4+J6+30+J7</f>
        <v/>
      </c>
      <c r="K24" s="110">
        <f>G24-J24</f>
        <v/>
      </c>
      <c r="L24" s="125" t="n">
        <v>40</v>
      </c>
      <c r="M24" s="194" t="n">
        <v>2.001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408">
        <f>G4+G6+G7+30+20</f>
        <v/>
      </c>
      <c r="H25" s="321">
        <f>H4+H6+30+H7+10</f>
        <v/>
      </c>
      <c r="I25" s="310">
        <f>G25-H25</f>
        <v/>
      </c>
      <c r="J25" s="36">
        <f>J4+J6+30+J7</f>
        <v/>
      </c>
      <c r="K25" s="110">
        <f>G25-J25</f>
        <v/>
      </c>
      <c r="L25" s="125" t="n">
        <v>40</v>
      </c>
      <c r="M25" s="194" t="n">
        <v>2.3712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410">
        <f>G4+G6+G7+30+20+30</f>
        <v/>
      </c>
      <c r="H26" s="321">
        <f>H4+H6+40+H7</f>
        <v/>
      </c>
      <c r="I26" s="310">
        <f>G26-H26</f>
        <v/>
      </c>
      <c r="J26" s="36">
        <f>J4+J6+30+J7</f>
        <v/>
      </c>
      <c r="K26" s="110">
        <f>G26-J26</f>
        <v/>
      </c>
      <c r="L26" s="125" t="n">
        <v>40</v>
      </c>
      <c r="M26" s="194" t="n">
        <v>2.146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410">
        <f>G4+G6+G7+30+20+30</f>
        <v/>
      </c>
      <c r="H27" s="321">
        <f>H4+H6+30+H7+10</f>
        <v/>
      </c>
      <c r="I27" s="310">
        <f>G27-H27</f>
        <v/>
      </c>
      <c r="J27" s="36">
        <f>J4+J6+30+J7</f>
        <v/>
      </c>
      <c r="K27" s="110">
        <f>G27-J27</f>
        <v/>
      </c>
      <c r="L27" s="125" t="n">
        <v>40</v>
      </c>
      <c r="M27" s="194" t="n">
        <v>2.503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02">
        <f>G4+G6+G7+50+30</f>
        <v/>
      </c>
      <c r="H28" s="321">
        <f>H4+H6+50+H7</f>
        <v/>
      </c>
      <c r="I28" s="310">
        <f>G28-H28</f>
        <v/>
      </c>
      <c r="J28" s="36">
        <f>J4+J6+50+J7</f>
        <v/>
      </c>
      <c r="K28" s="110">
        <f>G28-J28</f>
        <v/>
      </c>
      <c r="L28" s="125">
        <f>L4+L6+50+L7</f>
        <v/>
      </c>
      <c r="M28" s="194" t="n">
        <v>2.426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02">
        <f>G4+G6+G7+50+30</f>
        <v/>
      </c>
      <c r="H29" s="321">
        <f>H4+H6+50+H7</f>
        <v/>
      </c>
      <c r="I29" s="310">
        <f>G29-H29</f>
        <v/>
      </c>
      <c r="J29" s="36">
        <f>J4+J6+50+J7</f>
        <v/>
      </c>
      <c r="K29" s="110">
        <f>G29-J29</f>
        <v/>
      </c>
      <c r="L29" s="125">
        <f>L4+L6+50+L7</f>
        <v/>
      </c>
      <c r="M29" s="194" t="n">
        <v>2.772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321">
        <f>G4+G6+100+G7</f>
        <v/>
      </c>
      <c r="H30" s="321">
        <f>H4+H6+100+H7</f>
        <v/>
      </c>
      <c r="I30" s="310">
        <f>G30-H30</f>
        <v/>
      </c>
      <c r="J30" s="36">
        <f>J4+J6+100+J7</f>
        <v/>
      </c>
      <c r="K30" s="110">
        <f>G30-J30</f>
        <v/>
      </c>
      <c r="L30" s="125">
        <f>L4+L6+100+L7</f>
        <v/>
      </c>
      <c r="M30" s="194" t="n">
        <v>2.174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321">
        <f>G4+G6+100+G7</f>
        <v/>
      </c>
      <c r="H31" s="321">
        <f>H4+H6+100+H7</f>
        <v/>
      </c>
      <c r="I31" s="310">
        <f>G31-H31</f>
        <v/>
      </c>
      <c r="J31" s="36">
        <f>J4+J6+100+J7</f>
        <v/>
      </c>
      <c r="K31" s="110">
        <f>G31-J31</f>
        <v/>
      </c>
      <c r="L31" s="125">
        <f>L4+L6+100+L7</f>
        <v/>
      </c>
      <c r="M31" s="194" t="n">
        <v>2.318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321">
        <f>G4+G6+100+G7</f>
        <v/>
      </c>
      <c r="H32" s="321">
        <f>H4+H6+100+H7</f>
        <v/>
      </c>
      <c r="I32" s="310">
        <f>G32-H32</f>
        <v/>
      </c>
      <c r="J32" s="36">
        <f>J4+J6+100+J7</f>
        <v/>
      </c>
      <c r="K32" s="110">
        <f>G32-J32</f>
        <v/>
      </c>
      <c r="L32" s="125">
        <f>L4+L6+100+L7</f>
        <v/>
      </c>
      <c r="M32" s="194" t="n">
        <v>2.272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321">
        <f>G4+G6+100+G7</f>
        <v/>
      </c>
      <c r="H33" s="321">
        <f>H4+H6+100+H7</f>
        <v/>
      </c>
      <c r="I33" s="310">
        <f>G33-H33</f>
        <v/>
      </c>
      <c r="J33" s="36">
        <f>J4+J6+100+J7</f>
        <v/>
      </c>
      <c r="K33" s="110">
        <f>G33-J33</f>
        <v/>
      </c>
      <c r="L33" s="411">
        <f>L4+L6+100+L7</f>
        <v/>
      </c>
      <c r="M33" s="412" t="n">
        <v>2.272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413" t="n"/>
      <c r="H34" s="413" t="n"/>
      <c r="I34" s="413" t="n"/>
      <c r="J34" s="129" t="n"/>
      <c r="K34" s="130" t="n"/>
      <c r="L34" s="138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414" t="n"/>
      <c r="H35" s="414" t="n"/>
      <c r="I35" s="414" t="n"/>
      <c r="J35" s="134" t="n"/>
      <c r="K35" s="135" t="n"/>
      <c r="L35" s="415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19" t="n"/>
      <c r="H36" s="419" t="n"/>
      <c r="I36" s="419" t="n"/>
      <c r="J36" s="419" t="n"/>
      <c r="K36" s="419" t="n"/>
      <c r="L36" s="444" t="n"/>
      <c r="M36" s="382" t="n"/>
      <c r="N36" s="419" t="n"/>
    </row>
    <row r="37">
      <c r="A37" s="4" t="n"/>
      <c r="B37" s="4" t="n"/>
      <c r="C37" s="4" t="n"/>
      <c r="D37" s="4" t="n"/>
      <c r="E37" s="4" t="n"/>
      <c r="F37" s="4" t="n"/>
      <c r="G37" s="419" t="n"/>
      <c r="H37" s="419" t="n"/>
      <c r="I37" s="419" t="n"/>
      <c r="J37" s="419" t="n"/>
      <c r="K37" s="419" t="n"/>
      <c r="L37" s="444" t="n"/>
      <c r="M37" s="382" t="n"/>
      <c r="N37" s="419" t="n"/>
    </row>
    <row r="38">
      <c r="A38" s="4" t="n"/>
      <c r="B38" s="4" t="n"/>
      <c r="C38" s="4" t="n"/>
      <c r="D38" s="4" t="n"/>
      <c r="E38" s="4" t="n"/>
      <c r="F38" s="4" t="n"/>
      <c r="G38" s="419" t="n"/>
      <c r="H38" s="419" t="n"/>
      <c r="I38" s="419" t="n"/>
      <c r="J38" s="419" t="n"/>
      <c r="K38" s="419" t="n"/>
      <c r="L38" s="444" t="n"/>
      <c r="M38" s="382" t="n"/>
      <c r="N38" s="419" t="n"/>
    </row>
    <row r="39">
      <c r="A39" s="4" t="n"/>
      <c r="B39" s="4" t="n"/>
      <c r="C39" s="4" t="n"/>
      <c r="D39" s="4" t="n"/>
      <c r="E39" s="4" t="n"/>
      <c r="F39" s="4" t="n"/>
      <c r="G39" s="419" t="n"/>
      <c r="H39" s="419" t="n"/>
      <c r="I39" s="419" t="n"/>
      <c r="J39" s="419" t="n"/>
      <c r="K39" s="419" t="n"/>
      <c r="L39" s="444" t="n"/>
      <c r="M39" s="382" t="n"/>
      <c r="N39" s="419" t="n"/>
    </row>
    <row r="40">
      <c r="A40" s="4" t="n"/>
      <c r="B40" s="4" t="n"/>
      <c r="C40" s="4" t="n"/>
      <c r="D40" s="4" t="n"/>
      <c r="E40" s="4" t="n"/>
      <c r="F40" s="4" t="n"/>
      <c r="G40" s="419" t="n"/>
      <c r="H40" s="419" t="n"/>
      <c r="I40" s="419" t="n"/>
      <c r="J40" s="419" t="n"/>
      <c r="K40" s="419" t="n"/>
      <c r="L40" s="444" t="n"/>
      <c r="M40" s="382" t="n"/>
      <c r="N40" s="419" t="n"/>
    </row>
    <row r="41">
      <c r="A41" s="4" t="n"/>
      <c r="B41" s="4" t="n"/>
      <c r="C41" s="4" t="n"/>
      <c r="D41" s="4" t="n"/>
      <c r="E41" s="4" t="n"/>
      <c r="F41" s="4" t="n"/>
      <c r="G41" s="419" t="n"/>
      <c r="H41" s="419" t="n"/>
      <c r="I41" s="419" t="n"/>
      <c r="J41" s="419" t="n"/>
      <c r="K41" s="419" t="n"/>
      <c r="L41" s="444" t="n"/>
      <c r="M41" s="382" t="n"/>
      <c r="N41" s="419" t="n"/>
    </row>
    <row r="42">
      <c r="A42" s="4" t="n"/>
      <c r="B42" s="4" t="n"/>
      <c r="C42" s="4" t="n"/>
      <c r="D42" s="4" t="n"/>
      <c r="E42" s="4" t="n"/>
      <c r="F42" s="4" t="n"/>
      <c r="G42" s="419" t="n"/>
      <c r="H42" s="419" t="n"/>
      <c r="I42" s="419" t="n"/>
      <c r="J42" s="419" t="n"/>
      <c r="K42" s="419" t="n"/>
      <c r="L42" s="444" t="n"/>
      <c r="M42" s="382" t="n"/>
      <c r="N42" s="419" t="n"/>
    </row>
    <row r="43">
      <c r="A43" s="4" t="n"/>
      <c r="B43" s="4" t="n"/>
      <c r="C43" s="4" t="n"/>
      <c r="D43" s="4" t="n"/>
      <c r="E43" s="4" t="n"/>
      <c r="F43" s="4" t="n"/>
      <c r="G43" s="419" t="n"/>
      <c r="H43" s="419" t="n"/>
      <c r="I43" s="419" t="n"/>
      <c r="J43" s="419" t="n"/>
      <c r="K43" s="419" t="n"/>
      <c r="L43" s="444" t="n"/>
      <c r="M43" s="382" t="n"/>
      <c r="N43" s="419" t="n"/>
    </row>
    <row r="44">
      <c r="A44" s="4" t="n"/>
      <c r="B44" s="4" t="n"/>
      <c r="C44" s="4" t="n"/>
      <c r="D44" s="4" t="n"/>
      <c r="E44" s="4" t="n"/>
      <c r="F44" s="4" t="n"/>
      <c r="G44" s="419" t="n"/>
      <c r="H44" s="419" t="n"/>
      <c r="I44" s="419" t="n"/>
      <c r="J44" s="419" t="n"/>
      <c r="K44" s="419" t="n"/>
      <c r="L44" s="444" t="n"/>
      <c r="M44" s="382" t="n"/>
      <c r="N44" s="419" t="n"/>
    </row>
    <row r="45">
      <c r="A45" s="4" t="n"/>
      <c r="B45" s="4" t="n"/>
      <c r="C45" s="4" t="n"/>
      <c r="D45" s="4" t="n"/>
      <c r="E45" s="4" t="n"/>
      <c r="F45" s="4" t="n"/>
      <c r="G45" s="419" t="n"/>
      <c r="H45" s="419" t="n"/>
      <c r="I45" s="419" t="n"/>
      <c r="J45" s="419" t="n"/>
      <c r="K45" s="419" t="n"/>
      <c r="L45" s="444" t="n"/>
      <c r="M45" s="382" t="n"/>
      <c r="N45" s="419" t="n"/>
    </row>
    <row r="46">
      <c r="A46" s="4" t="n"/>
      <c r="B46" s="4" t="n"/>
      <c r="C46" s="4" t="n"/>
      <c r="D46" s="4" t="n"/>
      <c r="E46" s="4" t="n"/>
      <c r="F46" s="4" t="n"/>
      <c r="G46" s="419" t="n"/>
      <c r="H46" s="419" t="n"/>
      <c r="I46" s="419" t="n"/>
      <c r="J46" s="419" t="n"/>
      <c r="K46" s="419" t="n"/>
      <c r="L46" s="444" t="n"/>
      <c r="M46" s="382" t="n"/>
      <c r="N46" s="419" t="n"/>
    </row>
    <row r="47">
      <c r="A47" s="4" t="n"/>
      <c r="B47" s="4" t="n"/>
      <c r="C47" s="4" t="n"/>
      <c r="D47" s="4" t="n"/>
      <c r="E47" s="4" t="n"/>
      <c r="F47" s="4" t="n"/>
      <c r="G47" s="419" t="n"/>
      <c r="H47" s="419" t="n"/>
      <c r="I47" s="419" t="n"/>
      <c r="J47" s="419" t="n"/>
      <c r="K47" s="419" t="n"/>
      <c r="L47" s="444" t="n"/>
      <c r="M47" s="382" t="n"/>
      <c r="N47" s="419" t="n"/>
    </row>
    <row r="48">
      <c r="A48" s="4" t="n"/>
      <c r="B48" s="4" t="n"/>
      <c r="C48" s="4" t="n"/>
      <c r="D48" s="4" t="n"/>
      <c r="E48" s="4" t="n"/>
      <c r="F48" s="4" t="n"/>
      <c r="G48" s="419" t="n"/>
      <c r="H48" s="419" t="n"/>
      <c r="I48" s="419" t="n"/>
      <c r="J48" s="419" t="n"/>
      <c r="K48" s="419" t="n"/>
      <c r="L48" s="444" t="n"/>
      <c r="M48" s="382" t="n"/>
      <c r="N48" s="419" t="n"/>
    </row>
    <row r="49">
      <c r="A49" s="4" t="n"/>
      <c r="B49" s="4" t="n"/>
      <c r="C49" s="4" t="n"/>
      <c r="D49" s="4" t="n"/>
      <c r="E49" s="4" t="n"/>
      <c r="F49" s="4" t="n"/>
      <c r="G49" s="419" t="n"/>
      <c r="H49" s="419" t="n"/>
      <c r="I49" s="419" t="n"/>
      <c r="J49" s="419" t="n"/>
      <c r="K49" s="419" t="n"/>
      <c r="L49" s="444" t="n"/>
      <c r="M49" s="382" t="n"/>
      <c r="N49" s="419" t="n"/>
    </row>
    <row r="50">
      <c r="A50" s="4" t="n"/>
      <c r="B50" s="4" t="n"/>
      <c r="C50" s="4" t="n"/>
      <c r="D50" s="4" t="n"/>
      <c r="E50" s="4" t="n"/>
      <c r="F50" s="4" t="n"/>
      <c r="G50" s="419" t="n"/>
      <c r="H50" s="419" t="n"/>
      <c r="I50" s="419" t="n"/>
      <c r="J50" s="419" t="n"/>
      <c r="K50" s="419" t="n"/>
      <c r="L50" s="444" t="n"/>
      <c r="M50" s="382" t="n"/>
      <c r="N50" s="419" t="n"/>
    </row>
    <row r="51">
      <c r="A51" s="4" t="n"/>
      <c r="B51" s="4" t="n"/>
      <c r="C51" s="4" t="n"/>
      <c r="D51" s="4" t="n"/>
      <c r="E51" s="4" t="n"/>
      <c r="F51" s="4" t="n"/>
      <c r="G51" s="419" t="n"/>
      <c r="H51" s="419" t="n"/>
      <c r="I51" s="419" t="n"/>
      <c r="J51" s="419" t="n"/>
      <c r="K51" s="419" t="n"/>
      <c r="L51" s="444" t="n"/>
      <c r="M51" s="382" t="n"/>
      <c r="N51" s="419" t="n"/>
    </row>
    <row r="52">
      <c r="A52" s="4" t="n"/>
      <c r="B52" s="4" t="n"/>
      <c r="C52" s="4" t="n"/>
      <c r="D52" s="4" t="n"/>
      <c r="E52" s="4" t="n"/>
      <c r="F52" s="4" t="n"/>
      <c r="G52" s="419" t="n"/>
      <c r="H52" s="419" t="n"/>
      <c r="I52" s="419" t="n"/>
      <c r="J52" s="419" t="n"/>
      <c r="K52" s="419" t="n"/>
      <c r="L52" s="444" t="n"/>
      <c r="M52" s="382" t="n"/>
      <c r="N52" s="419" t="n"/>
    </row>
    <row r="53">
      <c r="A53" s="4" t="n"/>
      <c r="B53" s="4" t="n"/>
      <c r="C53" s="4" t="n"/>
      <c r="D53" s="4" t="n"/>
      <c r="E53" s="4" t="n"/>
      <c r="F53" s="4" t="n"/>
      <c r="G53" s="419" t="n"/>
      <c r="H53" s="419" t="n"/>
      <c r="I53" s="419" t="n"/>
      <c r="J53" s="419" t="n"/>
      <c r="K53" s="419" t="n"/>
      <c r="L53" s="444" t="n"/>
      <c r="M53" s="382" t="n"/>
      <c r="N53" s="419" t="n"/>
    </row>
    <row r="54">
      <c r="A54" s="4" t="n"/>
      <c r="B54" s="4" t="n"/>
      <c r="C54" s="4" t="n"/>
      <c r="D54" s="4" t="n"/>
      <c r="E54" s="4" t="n"/>
      <c r="F54" s="4" t="n"/>
      <c r="G54" s="419" t="n"/>
      <c r="H54" s="419" t="n"/>
      <c r="I54" s="419" t="n"/>
      <c r="J54" s="419" t="n"/>
      <c r="K54" s="419" t="n"/>
      <c r="L54" s="444" t="n"/>
      <c r="M54" s="382" t="n"/>
      <c r="N54" s="419" t="n"/>
    </row>
    <row r="55">
      <c r="A55" s="4" t="n"/>
      <c r="B55" s="4" t="n"/>
      <c r="C55" s="4" t="n"/>
      <c r="D55" s="4" t="n"/>
      <c r="E55" s="4" t="n"/>
      <c r="F55" s="4" t="n"/>
      <c r="G55" s="419" t="n"/>
      <c r="H55" s="419" t="n"/>
      <c r="I55" s="419" t="n"/>
      <c r="J55" s="419" t="n"/>
      <c r="K55" s="419" t="n"/>
      <c r="L55" s="444" t="n"/>
      <c r="M55" s="382" t="n"/>
      <c r="N55" s="419" t="n"/>
    </row>
    <row r="56">
      <c r="A56" s="4" t="n"/>
      <c r="B56" s="4" t="n"/>
      <c r="C56" s="4" t="n"/>
      <c r="D56" s="4" t="n"/>
      <c r="E56" s="4" t="n"/>
      <c r="F56" s="4" t="n"/>
      <c r="G56" s="419" t="n"/>
      <c r="H56" s="419" t="n"/>
      <c r="I56" s="419" t="n"/>
      <c r="J56" s="419" t="n"/>
      <c r="K56" s="419" t="n"/>
      <c r="L56" s="444" t="n"/>
      <c r="M56" s="382" t="n"/>
      <c r="N56" s="419" t="n"/>
    </row>
    <row r="57">
      <c r="A57" s="4" t="n"/>
      <c r="B57" s="4" t="n"/>
      <c r="C57" s="4" t="n"/>
      <c r="D57" s="4" t="n"/>
      <c r="E57" s="4" t="n"/>
      <c r="F57" s="4" t="n"/>
      <c r="G57" s="419" t="n"/>
      <c r="H57" s="419" t="n"/>
      <c r="I57" s="419" t="n"/>
      <c r="J57" s="419" t="n"/>
      <c r="K57" s="419" t="n"/>
      <c r="L57" s="444" t="n"/>
      <c r="M57" s="382" t="n"/>
      <c r="N57" s="419" t="n"/>
    </row>
    <row r="58">
      <c r="A58" s="4" t="n"/>
      <c r="B58" s="4" t="n"/>
      <c r="C58" s="4" t="n"/>
      <c r="D58" s="4" t="n"/>
      <c r="E58" s="4" t="n"/>
      <c r="F58" s="4" t="n"/>
      <c r="G58" s="419" t="n"/>
      <c r="H58" s="419" t="n"/>
      <c r="I58" s="419" t="n"/>
      <c r="J58" s="419" t="n"/>
      <c r="K58" s="419" t="n"/>
      <c r="L58" s="444" t="n"/>
      <c r="M58" s="382" t="n"/>
      <c r="N58" s="419" t="n"/>
    </row>
    <row r="59">
      <c r="A59" s="4" t="n"/>
      <c r="B59" s="4" t="n"/>
      <c r="C59" s="4" t="n"/>
      <c r="D59" s="4" t="n"/>
      <c r="E59" s="4" t="n"/>
      <c r="F59" s="4" t="n"/>
      <c r="G59" s="419" t="n"/>
      <c r="H59" s="419" t="n"/>
      <c r="I59" s="419" t="n"/>
      <c r="J59" s="419" t="n"/>
      <c r="K59" s="419" t="n"/>
      <c r="L59" s="444" t="n"/>
      <c r="M59" s="382" t="n"/>
      <c r="N59" s="419" t="n"/>
    </row>
    <row r="60">
      <c r="A60" s="4" t="n"/>
      <c r="B60" s="4" t="n"/>
      <c r="C60" s="4" t="n"/>
      <c r="D60" s="4" t="n"/>
      <c r="E60" s="4" t="n"/>
      <c r="F60" s="4" t="n"/>
      <c r="G60" s="419" t="n"/>
      <c r="H60" s="419" t="n"/>
      <c r="I60" s="419" t="n"/>
      <c r="J60" s="419" t="n"/>
      <c r="K60" s="419" t="n"/>
      <c r="L60" s="444" t="n"/>
      <c r="M60" s="382" t="n"/>
      <c r="N60" s="419" t="n"/>
    </row>
    <row r="61">
      <c r="A61" s="4" t="n"/>
      <c r="B61" s="4" t="n"/>
      <c r="C61" s="4" t="n"/>
      <c r="D61" s="4" t="n"/>
      <c r="E61" s="4" t="n"/>
      <c r="F61" s="4" t="n"/>
      <c r="G61" s="419" t="n"/>
      <c r="H61" s="419" t="n"/>
      <c r="I61" s="419" t="n"/>
      <c r="J61" s="419" t="n"/>
      <c r="K61" s="419" t="n"/>
      <c r="L61" s="444" t="n"/>
      <c r="M61" s="382" t="n"/>
      <c r="N61" s="419" t="n"/>
    </row>
    <row r="62">
      <c r="A62" s="4" t="n"/>
      <c r="B62" s="4" t="n"/>
      <c r="C62" s="4" t="n"/>
      <c r="D62" s="4" t="n"/>
      <c r="E62" s="4" t="n"/>
      <c r="F62" s="4" t="n"/>
      <c r="G62" s="419" t="n"/>
      <c r="H62" s="419" t="n"/>
      <c r="I62" s="419" t="n"/>
      <c r="J62" s="419" t="n"/>
      <c r="K62" s="419" t="n"/>
      <c r="L62" s="444" t="n"/>
      <c r="M62" s="382" t="n"/>
      <c r="N62" s="419" t="n"/>
    </row>
    <row r="63">
      <c r="A63" s="4" t="n"/>
      <c r="B63" s="4" t="n"/>
      <c r="C63" s="4" t="n"/>
      <c r="D63" s="4" t="n"/>
      <c r="E63" s="4" t="n"/>
      <c r="F63" s="4" t="n"/>
      <c r="G63" s="419" t="n"/>
      <c r="H63" s="419" t="n"/>
      <c r="I63" s="419" t="n"/>
      <c r="J63" s="419" t="n"/>
      <c r="K63" s="419" t="n"/>
      <c r="L63" s="444" t="n"/>
      <c r="M63" s="382" t="n"/>
      <c r="N63" s="419" t="n"/>
    </row>
    <row r="64">
      <c r="A64" s="4" t="n"/>
      <c r="B64" s="4" t="n"/>
      <c r="C64" s="4" t="n"/>
      <c r="D64" s="4" t="n"/>
      <c r="E64" s="4" t="n"/>
      <c r="F64" s="4" t="n"/>
      <c r="G64" s="419" t="n"/>
      <c r="H64" s="419" t="n"/>
      <c r="I64" s="419" t="n"/>
      <c r="J64" s="419" t="n"/>
      <c r="K64" s="419" t="n"/>
      <c r="L64" s="444" t="n"/>
      <c r="M64" s="382" t="n"/>
      <c r="N64" s="419" t="n"/>
    </row>
    <row r="65">
      <c r="A65" s="4" t="n"/>
      <c r="B65" s="4" t="n"/>
      <c r="C65" s="4" t="n"/>
      <c r="D65" s="4" t="n"/>
      <c r="E65" s="4" t="n"/>
      <c r="F65" s="4" t="n"/>
      <c r="G65" s="419" t="n"/>
      <c r="H65" s="419" t="n"/>
      <c r="I65" s="419" t="n"/>
      <c r="J65" s="419" t="n"/>
      <c r="K65" s="419" t="n"/>
      <c r="L65" s="444" t="n"/>
      <c r="M65" s="382" t="n"/>
      <c r="N65" s="419" t="n"/>
    </row>
    <row r="66">
      <c r="A66" s="4" t="n"/>
      <c r="B66" s="4" t="n"/>
      <c r="C66" s="4" t="n"/>
      <c r="D66" s="4" t="n"/>
      <c r="E66" s="4" t="n"/>
      <c r="F66" s="4" t="n"/>
      <c r="G66" s="419" t="n"/>
      <c r="H66" s="419" t="n"/>
      <c r="I66" s="419" t="n"/>
      <c r="J66" s="419" t="n"/>
      <c r="K66" s="419" t="n"/>
      <c r="L66" s="444" t="n"/>
      <c r="M66" s="382" t="n"/>
      <c r="N66" s="419" t="n"/>
    </row>
    <row r="67">
      <c r="A67" s="4" t="n"/>
      <c r="B67" s="4" t="n"/>
      <c r="C67" s="4" t="n"/>
      <c r="D67" s="4" t="n"/>
      <c r="E67" s="4" t="n"/>
      <c r="F67" s="4" t="n"/>
      <c r="G67" s="419" t="n"/>
      <c r="H67" s="419" t="n"/>
      <c r="I67" s="419" t="n"/>
      <c r="J67" s="419" t="n"/>
      <c r="K67" s="419" t="n"/>
      <c r="L67" s="444" t="n"/>
      <c r="M67" s="382" t="n"/>
      <c r="N67" s="419" t="n"/>
    </row>
    <row r="68">
      <c r="A68" s="4" t="n"/>
      <c r="B68" s="4" t="n"/>
      <c r="C68" s="4" t="n"/>
      <c r="D68" s="4" t="n"/>
      <c r="E68" s="4" t="n"/>
      <c r="F68" s="4" t="n"/>
      <c r="G68" s="419" t="n"/>
      <c r="H68" s="419" t="n"/>
      <c r="I68" s="419" t="n"/>
      <c r="J68" s="419" t="n"/>
      <c r="K68" s="419" t="n"/>
      <c r="L68" s="444" t="n"/>
      <c r="M68" s="382" t="n"/>
      <c r="N68" s="419" t="n"/>
    </row>
    <row r="69">
      <c r="A69" s="4" t="n"/>
      <c r="B69" s="4" t="n"/>
      <c r="C69" s="4" t="n"/>
      <c r="D69" s="4" t="n"/>
      <c r="E69" s="4" t="n"/>
      <c r="F69" s="4" t="n"/>
      <c r="G69" s="419" t="n"/>
      <c r="H69" s="419" t="n"/>
      <c r="I69" s="419" t="n"/>
      <c r="J69" s="419" t="n"/>
      <c r="K69" s="419" t="n"/>
      <c r="L69" s="444" t="n"/>
      <c r="M69" s="382" t="n"/>
      <c r="N69" s="419" t="n"/>
    </row>
    <row r="70">
      <c r="A70" s="4" t="n"/>
      <c r="B70" s="4" t="n"/>
      <c r="C70" s="4" t="n"/>
      <c r="D70" s="4" t="n"/>
      <c r="E70" s="4" t="n"/>
      <c r="F70" s="4" t="n"/>
      <c r="G70" s="419" t="n"/>
      <c r="H70" s="419" t="n"/>
      <c r="I70" s="419" t="n"/>
      <c r="J70" s="419" t="n"/>
      <c r="K70" s="419" t="n"/>
      <c r="L70" s="444" t="n"/>
      <c r="M70" s="382" t="n"/>
      <c r="N70" s="419" t="n"/>
    </row>
    <row r="71">
      <c r="A71" s="4" t="n"/>
      <c r="B71" s="4" t="n"/>
      <c r="C71" s="4" t="n"/>
      <c r="D71" s="4" t="n"/>
      <c r="E71" s="4" t="n"/>
      <c r="F71" s="4" t="n"/>
      <c r="G71" s="419" t="n"/>
      <c r="H71" s="419" t="n"/>
      <c r="I71" s="419" t="n"/>
      <c r="J71" s="419" t="n"/>
      <c r="K71" s="419" t="n"/>
      <c r="L71" s="444" t="n"/>
      <c r="M71" s="382" t="n"/>
      <c r="N71" s="419" t="n"/>
    </row>
    <row r="72">
      <c r="A72" s="4" t="n"/>
      <c r="B72" s="4" t="n"/>
      <c r="C72" s="4" t="n"/>
      <c r="D72" s="4" t="n"/>
      <c r="E72" s="4" t="n"/>
      <c r="F72" s="4" t="n"/>
      <c r="G72" s="419" t="n"/>
      <c r="H72" s="419" t="n"/>
      <c r="I72" s="419" t="n"/>
      <c r="J72" s="419" t="n"/>
      <c r="K72" s="419" t="n"/>
      <c r="L72" s="139" t="n"/>
      <c r="M72" s="382" t="n"/>
      <c r="N72" s="419" t="n"/>
    </row>
    <row r="73">
      <c r="A73" s="4" t="n"/>
      <c r="B73" s="4" t="n"/>
      <c r="C73" s="4" t="n"/>
      <c r="D73" s="4" t="n"/>
      <c r="E73" s="4" t="n"/>
      <c r="F73" s="4" t="n"/>
      <c r="G73" s="419" t="n"/>
      <c r="H73" s="419" t="n"/>
      <c r="I73" s="419" t="n"/>
      <c r="J73" s="419" t="n"/>
      <c r="K73" s="419" t="n"/>
      <c r="L73" s="139" t="n"/>
      <c r="M73" s="382" t="n"/>
      <c r="N73" s="419" t="n"/>
    </row>
    <row r="74">
      <c r="A74" s="4" t="n"/>
      <c r="B74" s="4" t="n"/>
      <c r="C74" s="4" t="n"/>
      <c r="D74" s="4" t="n"/>
      <c r="E74" s="4" t="n"/>
      <c r="F74" s="4" t="n"/>
      <c r="G74" s="419" t="n"/>
      <c r="H74" s="419" t="n"/>
      <c r="I74" s="419" t="n"/>
      <c r="J74" s="419" t="n"/>
      <c r="K74" s="419" t="n"/>
      <c r="L74" s="139" t="n"/>
      <c r="M74" s="382" t="n"/>
      <c r="N74" s="419" t="n"/>
    </row>
    <row r="75">
      <c r="A75" s="4" t="n"/>
      <c r="B75" s="4" t="n"/>
      <c r="C75" s="4" t="n"/>
      <c r="D75" s="4" t="n"/>
      <c r="E75" s="4" t="n"/>
      <c r="F75" s="4" t="n"/>
      <c r="G75" s="419" t="n"/>
      <c r="H75" s="419" t="n"/>
      <c r="I75" s="419" t="n"/>
      <c r="J75" s="419" t="n"/>
      <c r="K75" s="419" t="n"/>
      <c r="L75" s="139" t="n"/>
      <c r="M75" s="382" t="n"/>
      <c r="N75" s="419" t="n"/>
    </row>
    <row r="76">
      <c r="A76" s="4" t="n"/>
      <c r="B76" s="4" t="n"/>
      <c r="C76" s="4" t="n"/>
      <c r="D76" s="4" t="n"/>
      <c r="E76" s="4" t="n"/>
      <c r="F76" s="4" t="n"/>
      <c r="G76" s="419" t="n"/>
      <c r="H76" s="419" t="n"/>
      <c r="I76" s="419" t="n"/>
      <c r="J76" s="419" t="n"/>
      <c r="K76" s="419" t="n"/>
      <c r="L76" s="139" t="n"/>
      <c r="M76" s="382" t="n"/>
      <c r="N76" s="419" t="n"/>
    </row>
    <row r="77">
      <c r="A77" s="4" t="n"/>
      <c r="B77" s="4" t="n"/>
      <c r="C77" s="4" t="n"/>
      <c r="D77" s="4" t="n"/>
      <c r="E77" s="4" t="n"/>
      <c r="F77" s="4" t="n"/>
      <c r="G77" s="419" t="n"/>
      <c r="H77" s="419" t="n"/>
      <c r="I77" s="419" t="n"/>
      <c r="J77" s="419" t="n"/>
      <c r="K77" s="419" t="n"/>
      <c r="L77" s="139" t="n"/>
      <c r="M77" s="382" t="n"/>
      <c r="N77" s="419" t="n"/>
    </row>
    <row r="78">
      <c r="A78" s="4" t="n"/>
      <c r="B78" s="4" t="n"/>
      <c r="C78" s="4" t="n"/>
      <c r="D78" s="4" t="n"/>
      <c r="E78" s="4" t="n"/>
      <c r="F78" s="4" t="n"/>
      <c r="G78" s="419" t="n"/>
      <c r="H78" s="419" t="n"/>
      <c r="I78" s="419" t="n"/>
      <c r="J78" s="419" t="n"/>
      <c r="K78" s="419" t="n"/>
      <c r="L78" s="139" t="n"/>
      <c r="M78" s="382" t="n"/>
      <c r="N78" s="419" t="n"/>
    </row>
    <row r="79">
      <c r="A79" s="4" t="n"/>
      <c r="B79" s="4" t="n"/>
      <c r="C79" s="4" t="n"/>
      <c r="D79" s="4" t="n"/>
      <c r="E79" s="4" t="n"/>
      <c r="F79" s="4" t="n"/>
      <c r="G79" s="419" t="n"/>
      <c r="H79" s="419" t="n"/>
      <c r="I79" s="419" t="n"/>
      <c r="J79" s="419" t="n"/>
      <c r="K79" s="419" t="n"/>
      <c r="L79" s="139" t="n"/>
      <c r="M79" s="382" t="n"/>
      <c r="N79" s="419" t="n"/>
    </row>
    <row r="80">
      <c r="A80" s="4" t="n"/>
      <c r="B80" s="4" t="n"/>
      <c r="C80" s="4" t="n"/>
      <c r="D80" s="4" t="n"/>
      <c r="E80" s="4" t="n"/>
      <c r="F80" s="4" t="n"/>
      <c r="G80" s="419" t="n"/>
      <c r="H80" s="419" t="n"/>
      <c r="I80" s="419" t="n"/>
      <c r="J80" s="419" t="n"/>
      <c r="K80" s="419" t="n"/>
      <c r="L80" s="139" t="n"/>
      <c r="M80" s="382" t="n"/>
      <c r="N80" s="419" t="n"/>
    </row>
    <row r="81">
      <c r="A81" s="4" t="n"/>
      <c r="B81" s="4" t="n"/>
      <c r="C81" s="4" t="n"/>
      <c r="D81" s="4" t="n"/>
      <c r="E81" s="4" t="n"/>
      <c r="F81" s="4" t="n"/>
      <c r="G81" s="419" t="n"/>
      <c r="H81" s="419" t="n"/>
      <c r="I81" s="419" t="n"/>
      <c r="J81" s="419" t="n"/>
      <c r="K81" s="419" t="n"/>
      <c r="L81" s="139" t="n"/>
      <c r="M81" s="382" t="n"/>
      <c r="N81" s="419" t="n"/>
    </row>
    <row r="82">
      <c r="A82" s="4" t="n"/>
      <c r="B82" s="4" t="n"/>
      <c r="C82" s="4" t="n"/>
      <c r="D82" s="4" t="n"/>
      <c r="E82" s="4" t="n"/>
      <c r="F82" s="4" t="n"/>
      <c r="G82" s="419" t="n"/>
      <c r="H82" s="419" t="n"/>
      <c r="I82" s="419" t="n"/>
      <c r="J82" s="419" t="n"/>
      <c r="K82" s="419" t="n"/>
      <c r="L82" s="139" t="n"/>
      <c r="M82" s="382" t="n"/>
      <c r="N82" s="419" t="n"/>
    </row>
    <row r="83">
      <c r="A83" s="4" t="n"/>
      <c r="B83" s="4" t="n"/>
      <c r="C83" s="4" t="n"/>
      <c r="D83" s="4" t="n"/>
      <c r="E83" s="4" t="n"/>
      <c r="F83" s="4" t="n"/>
      <c r="G83" s="419" t="n"/>
      <c r="H83" s="419" t="n"/>
      <c r="I83" s="419" t="n"/>
      <c r="J83" s="419" t="n"/>
      <c r="K83" s="419" t="n"/>
      <c r="L83" s="139" t="n"/>
      <c r="M83" s="382" t="n"/>
      <c r="N83" s="419" t="n"/>
    </row>
    <row r="84">
      <c r="A84" s="4" t="n"/>
      <c r="B84" s="4" t="n"/>
      <c r="C84" s="4" t="n"/>
      <c r="D84" s="4" t="n"/>
      <c r="E84" s="4" t="n"/>
      <c r="F84" s="4" t="n"/>
      <c r="G84" s="419" t="n"/>
      <c r="H84" s="419" t="n"/>
      <c r="I84" s="419" t="n"/>
      <c r="J84" s="419" t="n"/>
      <c r="K84" s="419" t="n"/>
      <c r="L84" s="139" t="n"/>
      <c r="M84" s="382" t="n"/>
      <c r="N84" s="419" t="n"/>
    </row>
    <row r="85">
      <c r="A85" s="4" t="n"/>
      <c r="B85" s="4" t="n"/>
      <c r="C85" s="4" t="n"/>
      <c r="D85" s="4" t="n"/>
      <c r="E85" s="4" t="n"/>
      <c r="F85" s="4" t="n"/>
      <c r="G85" s="419" t="n"/>
      <c r="H85" s="419" t="n"/>
      <c r="I85" s="419" t="n"/>
      <c r="J85" s="419" t="n"/>
      <c r="K85" s="419" t="n"/>
      <c r="L85" s="139" t="n"/>
      <c r="M85" s="382" t="n"/>
      <c r="N85" s="419" t="n"/>
    </row>
    <row r="86">
      <c r="A86" s="4" t="n"/>
      <c r="B86" s="4" t="n"/>
      <c r="C86" s="4" t="n"/>
      <c r="D86" s="4" t="n"/>
      <c r="E86" s="4" t="n"/>
      <c r="F86" s="4" t="n"/>
      <c r="G86" s="419" t="n"/>
      <c r="H86" s="419" t="n"/>
      <c r="I86" s="419" t="n"/>
      <c r="J86" s="419" t="n"/>
      <c r="K86" s="419" t="n"/>
      <c r="L86" s="139" t="n"/>
      <c r="M86" s="382" t="n"/>
      <c r="N86" s="419" t="n"/>
    </row>
    <row r="87">
      <c r="A87" s="4" t="n"/>
      <c r="B87" s="4" t="n"/>
      <c r="C87" s="4" t="n"/>
      <c r="D87" s="4" t="n"/>
      <c r="E87" s="4" t="n"/>
      <c r="F87" s="4" t="n"/>
      <c r="G87" s="419" t="n"/>
      <c r="H87" s="419" t="n"/>
      <c r="I87" s="419" t="n"/>
      <c r="J87" s="419" t="n"/>
      <c r="K87" s="419" t="n"/>
      <c r="L87" s="139" t="n"/>
      <c r="M87" s="382" t="n"/>
      <c r="N87" s="419" t="n"/>
    </row>
    <row r="88">
      <c r="A88" s="4" t="n"/>
      <c r="B88" s="4" t="n"/>
      <c r="C88" s="4" t="n"/>
      <c r="D88" s="4" t="n"/>
      <c r="E88" s="4" t="n"/>
      <c r="F88" s="4" t="n"/>
      <c r="G88" s="419" t="n"/>
      <c r="H88" s="419" t="n"/>
      <c r="I88" s="419" t="n"/>
      <c r="J88" s="419" t="n"/>
      <c r="K88" s="419" t="n"/>
      <c r="L88" s="139" t="n"/>
      <c r="M88" s="382" t="n"/>
      <c r="N88" s="419" t="n"/>
    </row>
    <row r="89">
      <c r="A89" s="4" t="n"/>
      <c r="B89" s="4" t="n"/>
      <c r="C89" s="4" t="n"/>
      <c r="D89" s="4" t="n"/>
      <c r="E89" s="4" t="n"/>
      <c r="F89" s="4" t="n"/>
      <c r="G89" s="419" t="n"/>
      <c r="H89" s="419" t="n"/>
      <c r="I89" s="419" t="n"/>
      <c r="J89" s="419" t="n"/>
      <c r="K89" s="419" t="n"/>
      <c r="L89" s="139" t="n"/>
      <c r="M89" s="382" t="n"/>
      <c r="N89" s="419" t="n"/>
    </row>
    <row r="90">
      <c r="A90" s="4" t="n"/>
      <c r="B90" s="4" t="n"/>
      <c r="C90" s="4" t="n"/>
      <c r="D90" s="4" t="n"/>
      <c r="E90" s="4" t="n"/>
      <c r="F90" s="4" t="n"/>
      <c r="G90" s="419" t="n"/>
      <c r="H90" s="419" t="n"/>
      <c r="I90" s="419" t="n"/>
      <c r="J90" s="419" t="n"/>
      <c r="K90" s="419" t="n"/>
      <c r="L90" s="139" t="n"/>
      <c r="M90" s="382" t="n"/>
      <c r="N90" s="419" t="n"/>
    </row>
    <row r="91">
      <c r="A91" s="4" t="n"/>
      <c r="B91" s="4" t="n"/>
      <c r="C91" s="4" t="n"/>
      <c r="D91" s="4" t="n"/>
      <c r="E91" s="4" t="n"/>
      <c r="F91" s="4" t="n"/>
      <c r="G91" s="419" t="n"/>
      <c r="H91" s="419" t="n"/>
      <c r="I91" s="419" t="n"/>
      <c r="J91" s="419" t="n"/>
      <c r="K91" s="419" t="n"/>
      <c r="L91" s="139" t="n"/>
      <c r="M91" s="382" t="n"/>
      <c r="N91" s="419" t="n"/>
    </row>
    <row r="92">
      <c r="A92" s="4" t="n"/>
      <c r="B92" s="4" t="n"/>
      <c r="C92" s="4" t="n"/>
      <c r="D92" s="4" t="n"/>
      <c r="E92" s="4" t="n"/>
      <c r="F92" s="4" t="n"/>
      <c r="G92" s="419" t="n"/>
      <c r="H92" s="419" t="n"/>
      <c r="I92" s="419" t="n"/>
      <c r="J92" s="419" t="n"/>
      <c r="K92" s="419" t="n"/>
      <c r="L92" s="139" t="n"/>
      <c r="M92" s="382" t="n"/>
      <c r="N92" s="419" t="n"/>
    </row>
    <row r="93">
      <c r="A93" s="4" t="n"/>
      <c r="B93" s="4" t="n"/>
      <c r="C93" s="4" t="n"/>
      <c r="D93" s="4" t="n"/>
      <c r="E93" s="4" t="n"/>
      <c r="F93" s="4" t="n"/>
      <c r="G93" s="419" t="n"/>
      <c r="H93" s="419" t="n"/>
      <c r="I93" s="419" t="n"/>
      <c r="J93" s="419" t="n"/>
      <c r="K93" s="419" t="n"/>
      <c r="L93" s="139" t="n"/>
      <c r="M93" s="382" t="n"/>
      <c r="N93" s="419" t="n"/>
    </row>
    <row r="94">
      <c r="A94" s="4" t="n"/>
      <c r="B94" s="4" t="n"/>
      <c r="C94" s="4" t="n"/>
      <c r="D94" s="4" t="n"/>
      <c r="E94" s="4" t="n"/>
      <c r="F94" s="4" t="n"/>
      <c r="G94" s="419" t="n"/>
      <c r="H94" s="419" t="n"/>
      <c r="I94" s="419" t="n"/>
      <c r="J94" s="419" t="n"/>
      <c r="K94" s="419" t="n"/>
      <c r="L94" s="139" t="n"/>
      <c r="M94" s="382" t="n"/>
      <c r="N94" s="419" t="n"/>
    </row>
    <row r="95">
      <c r="A95" s="4" t="n"/>
      <c r="B95" s="4" t="n"/>
      <c r="C95" s="4" t="n"/>
      <c r="D95" s="4" t="n"/>
      <c r="E95" s="4" t="n"/>
      <c r="F95" s="4" t="n"/>
      <c r="G95" s="419" t="n"/>
      <c r="H95" s="419" t="n"/>
      <c r="I95" s="419" t="n"/>
      <c r="J95" s="419" t="n"/>
      <c r="K95" s="419" t="n"/>
      <c r="L95" s="139" t="n"/>
      <c r="M95" s="382" t="n"/>
      <c r="N95" s="419" t="n"/>
    </row>
    <row r="96">
      <c r="A96" s="4" t="n"/>
      <c r="B96" s="4" t="n"/>
      <c r="C96" s="4" t="n"/>
      <c r="D96" s="4" t="n"/>
      <c r="E96" s="4" t="n"/>
      <c r="F96" s="4" t="n"/>
      <c r="G96" s="419" t="n"/>
      <c r="H96" s="419" t="n"/>
      <c r="I96" s="419" t="n"/>
      <c r="J96" s="419" t="n"/>
      <c r="K96" s="419" t="n"/>
      <c r="L96" s="139" t="n"/>
      <c r="M96" s="382" t="n"/>
      <c r="N96" s="419" t="n"/>
    </row>
    <row r="97">
      <c r="A97" s="4" t="n"/>
      <c r="B97" s="4" t="n"/>
      <c r="C97" s="4" t="n"/>
      <c r="D97" s="4" t="n"/>
      <c r="E97" s="4" t="n"/>
      <c r="F97" s="4" t="n"/>
      <c r="G97" s="419" t="n"/>
      <c r="H97" s="419" t="n"/>
      <c r="I97" s="419" t="n"/>
      <c r="J97" s="419" t="n"/>
      <c r="K97" s="419" t="n"/>
      <c r="L97" s="139" t="n"/>
      <c r="M97" s="382" t="n"/>
      <c r="N97" s="419" t="n"/>
    </row>
    <row r="98">
      <c r="A98" s="4" t="n"/>
      <c r="B98" s="4" t="n"/>
      <c r="C98" s="4" t="n"/>
      <c r="D98" s="4" t="n"/>
      <c r="E98" s="4" t="n"/>
      <c r="F98" s="4" t="n"/>
      <c r="G98" s="419" t="n"/>
      <c r="H98" s="419" t="n"/>
      <c r="I98" s="419" t="n"/>
      <c r="J98" s="419" t="n"/>
      <c r="K98" s="419" t="n"/>
      <c r="L98" s="139" t="n"/>
      <c r="M98" s="382" t="n"/>
      <c r="N98" s="419" t="n"/>
    </row>
    <row r="99">
      <c r="A99" s="4" t="n"/>
      <c r="B99" s="4" t="n"/>
      <c r="C99" s="4" t="n"/>
      <c r="D99" s="4" t="n"/>
      <c r="E99" s="4" t="n"/>
      <c r="F99" s="4" t="n"/>
      <c r="G99" s="419" t="n"/>
      <c r="H99" s="419" t="n"/>
      <c r="I99" s="419" t="n"/>
      <c r="J99" s="419" t="n"/>
      <c r="K99" s="419" t="n"/>
      <c r="L99" s="139" t="n"/>
      <c r="M99" s="382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19" t="n"/>
      <c r="H100" s="419" t="n"/>
      <c r="I100" s="419" t="n"/>
      <c r="J100" s="419" t="n"/>
      <c r="K100" s="419" t="n"/>
      <c r="L100" s="139" t="n"/>
      <c r="M100" s="382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19" t="n"/>
      <c r="H101" s="419" t="n"/>
      <c r="I101" s="419" t="n"/>
      <c r="J101" s="419" t="n"/>
      <c r="K101" s="419" t="n"/>
      <c r="L101" s="139" t="n"/>
      <c r="M101" s="382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19" t="n"/>
      <c r="H102" s="419" t="n"/>
      <c r="I102" s="419" t="n"/>
      <c r="J102" s="419" t="n"/>
      <c r="K102" s="419" t="n"/>
      <c r="L102" s="139" t="n"/>
      <c r="M102" s="382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19" t="n"/>
      <c r="H103" s="419" t="n"/>
      <c r="I103" s="419" t="n"/>
      <c r="J103" s="419" t="n"/>
      <c r="K103" s="419" t="n"/>
      <c r="L103" s="139" t="n"/>
      <c r="M103" s="382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19" t="n"/>
      <c r="H104" s="419" t="n"/>
      <c r="I104" s="419" t="n"/>
      <c r="J104" s="419" t="n"/>
      <c r="K104" s="419" t="n"/>
      <c r="L104" s="139" t="n"/>
      <c r="M104" s="382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19" t="n"/>
      <c r="H105" s="419" t="n"/>
      <c r="I105" s="419" t="n"/>
      <c r="J105" s="419" t="n"/>
      <c r="K105" s="419" t="n"/>
      <c r="L105" s="139" t="n"/>
      <c r="M105" s="382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19" t="n"/>
      <c r="H106" s="419" t="n"/>
      <c r="I106" s="419" t="n"/>
      <c r="J106" s="419" t="n"/>
      <c r="K106" s="419" t="n"/>
      <c r="L106" s="139" t="n"/>
      <c r="M106" s="382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19" t="n"/>
      <c r="H107" s="419" t="n"/>
      <c r="I107" s="419" t="n"/>
      <c r="J107" s="419" t="n"/>
      <c r="K107" s="419" t="n"/>
      <c r="L107" s="139" t="n"/>
      <c r="M107" s="382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19" t="n"/>
      <c r="H108" s="419" t="n"/>
      <c r="I108" s="419" t="n"/>
      <c r="J108" s="419" t="n"/>
      <c r="K108" s="419" t="n"/>
      <c r="L108" s="139" t="n"/>
      <c r="M108" s="382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19" t="n"/>
      <c r="H109" s="419" t="n"/>
      <c r="I109" s="419" t="n"/>
      <c r="J109" s="419" t="n"/>
      <c r="K109" s="419" t="n"/>
      <c r="L109" s="139" t="n"/>
      <c r="M109" s="382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19" t="n"/>
      <c r="H110" s="419" t="n"/>
      <c r="I110" s="419" t="n"/>
      <c r="J110" s="419" t="n"/>
      <c r="K110" s="419" t="n"/>
      <c r="L110" s="139" t="n"/>
      <c r="M110" s="382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19" t="n"/>
      <c r="H111" s="419" t="n"/>
      <c r="I111" s="419" t="n"/>
      <c r="J111" s="419" t="n"/>
      <c r="K111" s="419" t="n"/>
      <c r="L111" s="139" t="n"/>
      <c r="M111" s="382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19" t="n"/>
      <c r="H112" s="419" t="n"/>
      <c r="I112" s="419" t="n"/>
      <c r="J112" s="419" t="n"/>
      <c r="K112" s="419" t="n"/>
      <c r="L112" s="139" t="n"/>
      <c r="M112" s="382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19" t="n"/>
      <c r="H113" s="419" t="n"/>
      <c r="I113" s="419" t="n"/>
      <c r="J113" s="419" t="n"/>
      <c r="K113" s="419" t="n"/>
      <c r="L113" s="139" t="n"/>
      <c r="M113" s="382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19" t="n"/>
      <c r="H114" s="419" t="n"/>
      <c r="I114" s="419" t="n"/>
      <c r="J114" s="419" t="n"/>
      <c r="K114" s="419" t="n"/>
      <c r="L114" s="139" t="n"/>
      <c r="M114" s="382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19" t="n"/>
      <c r="H115" s="419" t="n"/>
      <c r="I115" s="419" t="n"/>
      <c r="J115" s="419" t="n"/>
      <c r="K115" s="419" t="n"/>
      <c r="L115" s="139" t="n"/>
      <c r="M115" s="382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19" t="n"/>
      <c r="H116" s="419" t="n"/>
      <c r="I116" s="419" t="n"/>
      <c r="J116" s="419" t="n"/>
      <c r="K116" s="419" t="n"/>
      <c r="L116" s="139" t="n"/>
      <c r="M116" s="382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19" t="n"/>
      <c r="H117" s="419" t="n"/>
      <c r="I117" s="419" t="n"/>
      <c r="J117" s="419" t="n"/>
      <c r="K117" s="419" t="n"/>
      <c r="L117" s="139" t="n"/>
      <c r="M117" s="382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19" t="n"/>
      <c r="H118" s="419" t="n"/>
      <c r="I118" s="419" t="n"/>
      <c r="J118" s="419" t="n"/>
      <c r="K118" s="419" t="n"/>
      <c r="L118" s="139" t="n"/>
      <c r="M118" s="382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19" t="n"/>
      <c r="H119" s="419" t="n"/>
      <c r="I119" s="419" t="n"/>
      <c r="J119" s="419" t="n"/>
      <c r="K119" s="419" t="n"/>
      <c r="L119" s="139" t="n"/>
      <c r="M119" s="382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19" t="n"/>
      <c r="H120" s="419" t="n"/>
      <c r="I120" s="419" t="n"/>
      <c r="J120" s="419" t="n"/>
      <c r="K120" s="419" t="n"/>
      <c r="L120" s="139" t="n"/>
      <c r="M120" s="382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19" t="n"/>
      <c r="H121" s="419" t="n"/>
      <c r="I121" s="419" t="n"/>
      <c r="J121" s="419" t="n"/>
      <c r="K121" s="419" t="n"/>
      <c r="L121" s="139" t="n"/>
      <c r="M121" s="382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19" t="n"/>
      <c r="H122" s="419" t="n"/>
      <c r="I122" s="419" t="n"/>
      <c r="J122" s="419" t="n"/>
      <c r="K122" s="419" t="n"/>
      <c r="L122" s="139" t="n"/>
      <c r="M122" s="382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19" t="n"/>
      <c r="H123" s="419" t="n"/>
      <c r="I123" s="419" t="n"/>
      <c r="J123" s="419" t="n"/>
      <c r="K123" s="419" t="n"/>
      <c r="L123" s="139" t="n"/>
      <c r="M123" s="382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19" t="n"/>
      <c r="H124" s="419" t="n"/>
      <c r="I124" s="419" t="n"/>
      <c r="J124" s="419" t="n"/>
      <c r="K124" s="419" t="n"/>
      <c r="L124" s="139" t="n"/>
      <c r="M124" s="382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19" t="n"/>
      <c r="H125" s="419" t="n"/>
      <c r="I125" s="419" t="n"/>
      <c r="J125" s="419" t="n"/>
      <c r="K125" s="419" t="n"/>
      <c r="L125" s="139" t="n"/>
      <c r="M125" s="382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19" t="n"/>
      <c r="H126" s="419" t="n"/>
      <c r="I126" s="419" t="n"/>
      <c r="J126" s="419" t="n"/>
      <c r="K126" s="419" t="n"/>
      <c r="L126" s="139" t="n"/>
      <c r="M126" s="382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19" t="n"/>
      <c r="H127" s="419" t="n"/>
      <c r="I127" s="419" t="n"/>
      <c r="J127" s="419" t="n"/>
      <c r="K127" s="419" t="n"/>
      <c r="L127" s="139" t="n"/>
      <c r="M127" s="382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19" t="n"/>
      <c r="H128" s="419" t="n"/>
      <c r="I128" s="419" t="n"/>
      <c r="J128" s="419" t="n"/>
      <c r="K128" s="419" t="n"/>
      <c r="L128" s="139" t="n"/>
      <c r="M128" s="382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19" t="n"/>
      <c r="H129" s="419" t="n"/>
      <c r="I129" s="419" t="n"/>
      <c r="J129" s="419" t="n"/>
      <c r="K129" s="419" t="n"/>
      <c r="L129" s="139" t="n"/>
      <c r="M129" s="382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19" t="n"/>
      <c r="H130" s="419" t="n"/>
      <c r="I130" s="419" t="n"/>
      <c r="J130" s="419" t="n"/>
      <c r="K130" s="419" t="n"/>
      <c r="L130" s="139" t="n"/>
      <c r="M130" s="382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19" t="n"/>
      <c r="H131" s="419" t="n"/>
      <c r="I131" s="419" t="n"/>
      <c r="J131" s="419" t="n"/>
      <c r="K131" s="419" t="n"/>
      <c r="L131" s="139" t="n"/>
      <c r="M131" s="382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19" t="n"/>
      <c r="H132" s="419" t="n"/>
      <c r="I132" s="419" t="n"/>
      <c r="J132" s="419" t="n"/>
      <c r="K132" s="419" t="n"/>
      <c r="L132" s="139" t="n"/>
      <c r="M132" s="382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19" t="n"/>
      <c r="H133" s="419" t="n"/>
      <c r="I133" s="419" t="n"/>
      <c r="J133" s="419" t="n"/>
      <c r="K133" s="419" t="n"/>
      <c r="L133" s="139" t="n"/>
      <c r="M133" s="382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19" t="n"/>
      <c r="H134" s="419" t="n"/>
      <c r="I134" s="419" t="n"/>
      <c r="J134" s="419" t="n"/>
      <c r="K134" s="419" t="n"/>
      <c r="L134" s="139" t="n"/>
      <c r="M134" s="382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19" t="n"/>
      <c r="H135" s="419" t="n"/>
      <c r="I135" s="419" t="n"/>
      <c r="J135" s="419" t="n"/>
      <c r="K135" s="419" t="n"/>
      <c r="L135" s="139" t="n"/>
      <c r="M135" s="382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19" t="n"/>
      <c r="H136" s="419" t="n"/>
      <c r="I136" s="419" t="n"/>
      <c r="J136" s="419" t="n"/>
      <c r="K136" s="419" t="n"/>
      <c r="L136" s="139" t="n"/>
      <c r="M136" s="382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19" t="n"/>
      <c r="H137" s="419" t="n"/>
      <c r="I137" s="419" t="n"/>
      <c r="J137" s="419" t="n"/>
      <c r="K137" s="419" t="n"/>
      <c r="L137" s="139" t="n"/>
      <c r="M137" s="382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19" t="n"/>
      <c r="H138" s="419" t="n"/>
      <c r="I138" s="419" t="n"/>
      <c r="J138" s="419" t="n"/>
      <c r="K138" s="419" t="n"/>
      <c r="L138" s="139" t="n"/>
      <c r="M138" s="382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19" t="n"/>
      <c r="H139" s="419" t="n"/>
      <c r="I139" s="419" t="n"/>
      <c r="J139" s="419" t="n"/>
      <c r="K139" s="419" t="n"/>
      <c r="L139" s="139" t="n"/>
      <c r="M139" s="382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19" t="n"/>
      <c r="H140" s="419" t="n"/>
      <c r="I140" s="419" t="n"/>
      <c r="J140" s="419" t="n"/>
      <c r="K140" s="419" t="n"/>
      <c r="L140" s="139" t="n"/>
      <c r="M140" s="382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19" t="n"/>
      <c r="H141" s="419" t="n"/>
      <c r="I141" s="419" t="n"/>
      <c r="J141" s="419" t="n"/>
      <c r="K141" s="419" t="n"/>
      <c r="L141" s="139" t="n"/>
      <c r="M141" s="382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19" t="n"/>
      <c r="H142" s="419" t="n"/>
      <c r="I142" s="419" t="n"/>
      <c r="J142" s="419" t="n"/>
      <c r="K142" s="419" t="n"/>
      <c r="L142" s="139" t="n"/>
      <c r="M142" s="382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19" t="n"/>
      <c r="H143" s="419" t="n"/>
      <c r="I143" s="419" t="n"/>
      <c r="J143" s="419" t="n"/>
      <c r="K143" s="419" t="n"/>
      <c r="L143" s="139" t="n"/>
      <c r="M143" s="382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19" t="n"/>
      <c r="H144" s="419" t="n"/>
      <c r="I144" s="419" t="n"/>
      <c r="J144" s="419" t="n"/>
      <c r="K144" s="419" t="n"/>
      <c r="L144" s="139" t="n"/>
      <c r="M144" s="382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19" t="n"/>
      <c r="H145" s="419" t="n"/>
      <c r="I145" s="419" t="n"/>
      <c r="J145" s="419" t="n"/>
      <c r="K145" s="419" t="n"/>
      <c r="L145" s="139" t="n"/>
      <c r="M145" s="382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19" t="n"/>
      <c r="H146" s="419" t="n"/>
      <c r="I146" s="419" t="n"/>
      <c r="J146" s="419" t="n"/>
      <c r="K146" s="419" t="n"/>
      <c r="L146" s="139" t="n"/>
      <c r="M146" s="382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19" t="n"/>
      <c r="H147" s="419" t="n"/>
      <c r="I147" s="419" t="n"/>
      <c r="J147" s="419" t="n"/>
      <c r="K147" s="419" t="n"/>
      <c r="L147" s="139" t="n"/>
      <c r="M147" s="382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19" t="n"/>
      <c r="H148" s="419" t="n"/>
      <c r="I148" s="419" t="n"/>
      <c r="J148" s="419" t="n"/>
      <c r="K148" s="419" t="n"/>
      <c r="L148" s="139" t="n"/>
      <c r="M148" s="382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19" t="n"/>
      <c r="H149" s="419" t="n"/>
      <c r="I149" s="419" t="n"/>
      <c r="J149" s="419" t="n"/>
      <c r="K149" s="419" t="n"/>
      <c r="L149" s="139" t="n"/>
      <c r="M149" s="382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19" t="n"/>
      <c r="H150" s="419" t="n"/>
      <c r="I150" s="419" t="n"/>
      <c r="J150" s="419" t="n"/>
      <c r="K150" s="419" t="n"/>
      <c r="L150" s="139" t="n"/>
      <c r="M150" s="382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19" t="n"/>
      <c r="H151" s="419" t="n"/>
      <c r="I151" s="419" t="n"/>
      <c r="J151" s="419" t="n"/>
      <c r="K151" s="419" t="n"/>
      <c r="L151" s="139" t="n"/>
      <c r="M151" s="382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19" t="n"/>
      <c r="H152" s="419" t="n"/>
      <c r="I152" s="419" t="n"/>
      <c r="J152" s="419" t="n"/>
      <c r="K152" s="419" t="n"/>
      <c r="L152" s="139" t="n"/>
      <c r="M152" s="382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19" t="n"/>
      <c r="H153" s="419" t="n"/>
      <c r="I153" s="419" t="n"/>
      <c r="J153" s="419" t="n"/>
      <c r="K153" s="419" t="n"/>
      <c r="L153" s="139" t="n"/>
      <c r="M153" s="382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19" t="n"/>
      <c r="H154" s="419" t="n"/>
      <c r="I154" s="419" t="n"/>
      <c r="J154" s="419" t="n"/>
      <c r="K154" s="419" t="n"/>
      <c r="L154" s="139" t="n"/>
      <c r="M154" s="382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19" t="n"/>
      <c r="H155" s="419" t="n"/>
      <c r="I155" s="419" t="n"/>
      <c r="J155" s="419" t="n"/>
      <c r="K155" s="419" t="n"/>
      <c r="L155" s="139" t="n"/>
      <c r="M155" s="382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19" t="n"/>
      <c r="H156" s="419" t="n"/>
      <c r="I156" s="419" t="n"/>
      <c r="J156" s="419" t="n"/>
      <c r="K156" s="419" t="n"/>
      <c r="L156" s="139" t="n"/>
      <c r="M156" s="382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19" t="n"/>
      <c r="H157" s="419" t="n"/>
      <c r="I157" s="419" t="n"/>
      <c r="J157" s="419" t="n"/>
      <c r="K157" s="419" t="n"/>
      <c r="L157" s="139" t="n"/>
      <c r="M157" s="382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19" t="n"/>
      <c r="H158" s="419" t="n"/>
      <c r="I158" s="419" t="n"/>
      <c r="J158" s="419" t="n"/>
      <c r="K158" s="419" t="n"/>
      <c r="L158" s="139" t="n"/>
      <c r="M158" s="382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19" t="n"/>
      <c r="H159" s="419" t="n"/>
      <c r="I159" s="419" t="n"/>
      <c r="J159" s="419" t="n"/>
      <c r="K159" s="419" t="n"/>
      <c r="L159" s="139" t="n"/>
      <c r="M159" s="382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19" t="n"/>
      <c r="H160" s="419" t="n"/>
      <c r="I160" s="419" t="n"/>
      <c r="J160" s="419" t="n"/>
      <c r="K160" s="419" t="n"/>
      <c r="L160" s="139" t="n"/>
      <c r="M160" s="382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19" t="n"/>
      <c r="H161" s="419" t="n"/>
      <c r="I161" s="419" t="n"/>
      <c r="J161" s="419" t="n"/>
      <c r="K161" s="419" t="n"/>
      <c r="L161" s="139" t="n"/>
      <c r="M161" s="382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19" t="n"/>
      <c r="H162" s="419" t="n"/>
      <c r="I162" s="419" t="n"/>
      <c r="J162" s="419" t="n"/>
      <c r="K162" s="419" t="n"/>
      <c r="L162" s="139" t="n"/>
      <c r="M162" s="382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19" t="n"/>
      <c r="H163" s="419" t="n"/>
      <c r="I163" s="419" t="n"/>
      <c r="J163" s="419" t="n"/>
      <c r="K163" s="419" t="n"/>
      <c r="L163" s="139" t="n"/>
      <c r="M163" s="382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19" t="n"/>
      <c r="H164" s="419" t="n"/>
      <c r="I164" s="419" t="n"/>
      <c r="J164" s="419" t="n"/>
      <c r="K164" s="419" t="n"/>
      <c r="L164" s="139" t="n"/>
      <c r="M164" s="382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19" t="n"/>
      <c r="H165" s="419" t="n"/>
      <c r="I165" s="419" t="n"/>
      <c r="J165" s="419" t="n"/>
      <c r="K165" s="419" t="n"/>
      <c r="L165" s="139" t="n"/>
      <c r="M165" s="382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19" t="n"/>
      <c r="H166" s="419" t="n"/>
      <c r="I166" s="419" t="n"/>
      <c r="J166" s="419" t="n"/>
      <c r="K166" s="419" t="n"/>
      <c r="L166" s="139" t="n"/>
      <c r="M166" s="382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19" t="n"/>
      <c r="H167" s="419" t="n"/>
      <c r="I167" s="419" t="n"/>
      <c r="J167" s="419" t="n"/>
      <c r="K167" s="419" t="n"/>
      <c r="L167" s="139" t="n"/>
      <c r="M167" s="382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19" t="n"/>
      <c r="H168" s="419" t="n"/>
      <c r="I168" s="419" t="n"/>
      <c r="J168" s="419" t="n"/>
      <c r="K168" s="419" t="n"/>
      <c r="L168" s="139" t="n"/>
      <c r="M168" s="382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19" t="n"/>
      <c r="H169" s="419" t="n"/>
      <c r="I169" s="419" t="n"/>
      <c r="J169" s="419" t="n"/>
      <c r="K169" s="419" t="n"/>
      <c r="L169" s="139" t="n"/>
      <c r="M169" s="382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19" t="n"/>
      <c r="H170" s="419" t="n"/>
      <c r="I170" s="419" t="n"/>
      <c r="J170" s="419" t="n"/>
      <c r="K170" s="419" t="n"/>
      <c r="L170" s="139" t="n"/>
      <c r="M170" s="382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19" t="n"/>
      <c r="H171" s="419" t="n"/>
      <c r="I171" s="419" t="n"/>
      <c r="J171" s="419" t="n"/>
      <c r="K171" s="419" t="n"/>
      <c r="L171" s="139" t="n"/>
      <c r="M171" s="382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19" t="n"/>
      <c r="H172" s="419" t="n"/>
      <c r="I172" s="419" t="n"/>
      <c r="J172" s="419" t="n"/>
      <c r="K172" s="419" t="n"/>
      <c r="L172" s="139" t="n"/>
      <c r="M172" s="382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19" t="n"/>
      <c r="H173" s="419" t="n"/>
      <c r="I173" s="419" t="n"/>
      <c r="J173" s="419" t="n"/>
      <c r="K173" s="419" t="n"/>
      <c r="L173" s="139" t="n"/>
      <c r="M173" s="382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19" t="n"/>
      <c r="H174" s="419" t="n"/>
      <c r="I174" s="419" t="n"/>
      <c r="J174" s="419" t="n"/>
      <c r="K174" s="419" t="n"/>
      <c r="L174" s="139" t="n"/>
      <c r="M174" s="382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19" t="n"/>
      <c r="H175" s="419" t="n"/>
      <c r="I175" s="419" t="n"/>
      <c r="J175" s="419" t="n"/>
      <c r="K175" s="419" t="n"/>
      <c r="L175" s="139" t="n"/>
      <c r="M175" s="382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19" t="n"/>
      <c r="H176" s="419" t="n"/>
      <c r="I176" s="419" t="n"/>
      <c r="J176" s="419" t="n"/>
      <c r="K176" s="419" t="n"/>
      <c r="L176" s="139" t="n"/>
      <c r="M176" s="382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19" t="n"/>
      <c r="H177" s="419" t="n"/>
      <c r="I177" s="419" t="n"/>
      <c r="J177" s="419" t="n"/>
      <c r="K177" s="419" t="n"/>
      <c r="L177" s="139" t="n"/>
      <c r="M177" s="382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19" t="n"/>
      <c r="H178" s="419" t="n"/>
      <c r="I178" s="419" t="n"/>
      <c r="J178" s="419" t="n"/>
      <c r="K178" s="419" t="n"/>
      <c r="L178" s="139" t="n"/>
      <c r="M178" s="382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19" t="n"/>
      <c r="H179" s="419" t="n"/>
      <c r="I179" s="419" t="n"/>
      <c r="J179" s="419" t="n"/>
      <c r="K179" s="419" t="n"/>
      <c r="L179" s="139" t="n"/>
      <c r="M179" s="382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19" t="n"/>
      <c r="H180" s="419" t="n"/>
      <c r="I180" s="419" t="n"/>
      <c r="J180" s="419" t="n"/>
      <c r="K180" s="419" t="n"/>
      <c r="L180" s="139" t="n"/>
      <c r="M180" s="382" t="n"/>
      <c r="N180" s="419" t="n"/>
    </row>
    <row r="181">
      <c r="G181" s="419" t="n"/>
      <c r="H181" s="419" t="n"/>
      <c r="I181" s="419" t="n"/>
      <c r="J181" s="419" t="n"/>
      <c r="K181" s="419" t="n"/>
      <c r="L181" s="141" t="n"/>
      <c r="M181" s="382" t="n"/>
      <c r="N181" s="419" t="n"/>
    </row>
    <row r="182">
      <c r="G182" s="419" t="n"/>
      <c r="H182" s="419" t="n"/>
      <c r="I182" s="419" t="n"/>
      <c r="J182" s="419" t="n"/>
      <c r="K182" s="419" t="n"/>
      <c r="L182" s="141" t="n"/>
      <c r="M182" s="382" t="n"/>
      <c r="N182" s="419" t="n"/>
    </row>
    <row r="183">
      <c r="G183" s="419" t="n"/>
      <c r="H183" s="419" t="n"/>
      <c r="I183" s="419" t="n"/>
      <c r="J183" s="419" t="n"/>
      <c r="K183" s="419" t="n"/>
      <c r="L183" s="141" t="n"/>
      <c r="M183" s="382" t="n"/>
      <c r="N183" s="419" t="n"/>
    </row>
    <row r="184">
      <c r="G184" s="419" t="n"/>
      <c r="H184" s="419" t="n"/>
      <c r="I184" s="419" t="n"/>
      <c r="J184" s="419" t="n"/>
      <c r="K184" s="419" t="n"/>
      <c r="L184" s="141" t="n"/>
      <c r="M184" s="382" t="n"/>
      <c r="N184" s="419" t="n"/>
    </row>
    <row r="185">
      <c r="G185" s="419" t="n"/>
      <c r="H185" s="419" t="n"/>
      <c r="I185" s="419" t="n"/>
      <c r="J185" s="419" t="n"/>
      <c r="K185" s="419" t="n"/>
      <c r="L185" s="141" t="n"/>
      <c r="M185" s="382" t="n"/>
      <c r="N185" s="419" t="n"/>
    </row>
    <row r="186">
      <c r="G186" s="419" t="n"/>
      <c r="H186" s="419" t="n"/>
      <c r="I186" s="419" t="n"/>
      <c r="J186" s="419" t="n"/>
      <c r="K186" s="419" t="n"/>
      <c r="L186" s="141" t="n"/>
      <c r="M186" s="382" t="n"/>
      <c r="N186" s="419" t="n"/>
    </row>
    <row r="187">
      <c r="G187" s="419" t="n"/>
      <c r="H187" s="419" t="n"/>
      <c r="I187" s="419" t="n"/>
      <c r="J187" s="419" t="n"/>
      <c r="K187" s="419" t="n"/>
      <c r="L187" s="141" t="n"/>
      <c r="M187" s="382" t="n"/>
      <c r="N187" s="419" t="n"/>
    </row>
    <row r="188">
      <c r="G188" s="419" t="n"/>
      <c r="H188" s="419" t="n"/>
      <c r="I188" s="419" t="n"/>
      <c r="J188" s="419" t="n"/>
      <c r="K188" s="419" t="n"/>
      <c r="L188" s="141" t="n"/>
      <c r="M188" s="382" t="n"/>
      <c r="N188" s="419" t="n"/>
    </row>
    <row r="189">
      <c r="G189" s="419" t="n"/>
      <c r="H189" s="419" t="n"/>
      <c r="I189" s="419" t="n"/>
      <c r="J189" s="419" t="n"/>
      <c r="K189" s="419" t="n"/>
      <c r="L189" s="141" t="n"/>
      <c r="M189" s="382" t="n"/>
      <c r="N189" s="419" t="n"/>
    </row>
    <row r="190">
      <c r="G190" s="419" t="n"/>
      <c r="H190" s="419" t="n"/>
      <c r="I190" s="419" t="n"/>
      <c r="J190" s="419" t="n"/>
      <c r="K190" s="419" t="n"/>
      <c r="L190" s="141" t="n"/>
      <c r="M190" s="382" t="n"/>
      <c r="N190" s="419" t="n"/>
    </row>
    <row r="191">
      <c r="G191" s="419" t="n"/>
      <c r="H191" s="419" t="n"/>
      <c r="I191" s="419" t="n"/>
      <c r="J191" s="419" t="n"/>
      <c r="K191" s="419" t="n"/>
      <c r="L191" s="141" t="n"/>
      <c r="M191" s="382" t="n"/>
      <c r="N191" s="419" t="n"/>
    </row>
    <row r="192">
      <c r="G192" s="419" t="n"/>
      <c r="H192" s="419" t="n"/>
      <c r="I192" s="419" t="n"/>
      <c r="J192" s="419" t="n"/>
      <c r="K192" s="419" t="n"/>
      <c r="L192" s="141" t="n"/>
      <c r="M192" s="382" t="n"/>
      <c r="N192" s="419" t="n"/>
    </row>
    <row r="193">
      <c r="G193" s="419" t="n"/>
      <c r="H193" s="419" t="n"/>
      <c r="I193" s="419" t="n"/>
      <c r="J193" s="419" t="n"/>
      <c r="K193" s="419" t="n"/>
      <c r="L193" s="141" t="n"/>
      <c r="M193" s="382" t="n"/>
      <c r="N193" s="419" t="n"/>
    </row>
    <row r="194">
      <c r="G194" s="419" t="n"/>
      <c r="H194" s="419" t="n"/>
      <c r="I194" s="419" t="n"/>
      <c r="J194" s="419" t="n"/>
      <c r="K194" s="419" t="n"/>
      <c r="L194" s="141" t="n"/>
      <c r="M194" s="382" t="n"/>
      <c r="N194" s="419" t="n"/>
    </row>
    <row r="195">
      <c r="G195" s="419" t="n"/>
      <c r="H195" s="419" t="n"/>
      <c r="I195" s="419" t="n"/>
      <c r="J195" s="419" t="n"/>
      <c r="K195" s="419" t="n"/>
      <c r="L195" s="141" t="n"/>
      <c r="M195" s="382" t="n"/>
      <c r="N195" s="419" t="n"/>
    </row>
    <row r="196">
      <c r="G196" s="419" t="n"/>
      <c r="H196" s="419" t="n"/>
      <c r="I196" s="419" t="n"/>
      <c r="J196" s="419" t="n"/>
      <c r="K196" s="419" t="n"/>
      <c r="L196" s="141" t="n"/>
      <c r="M196" s="382" t="n"/>
      <c r="N196" s="419" t="n"/>
    </row>
    <row r="197">
      <c r="G197" s="419" t="n"/>
      <c r="H197" s="419" t="n"/>
      <c r="I197" s="419" t="n"/>
      <c r="J197" s="419" t="n"/>
      <c r="K197" s="419" t="n"/>
      <c r="L197" s="141" t="n"/>
      <c r="M197" s="382" t="n"/>
      <c r="N197" s="419" t="n"/>
    </row>
    <row r="198">
      <c r="G198" s="419" t="n"/>
      <c r="H198" s="419" t="n"/>
      <c r="I198" s="419" t="n"/>
      <c r="J198" s="419" t="n"/>
      <c r="K198" s="419" t="n"/>
      <c r="L198" s="141" t="n"/>
      <c r="M198" s="382" t="n"/>
      <c r="N198" s="419" t="n"/>
    </row>
    <row r="199">
      <c r="G199" s="419" t="n"/>
      <c r="H199" s="419" t="n"/>
      <c r="I199" s="419" t="n"/>
      <c r="J199" s="419" t="n"/>
      <c r="K199" s="419" t="n"/>
      <c r="L199" s="141" t="n"/>
      <c r="M199" s="382" t="n"/>
      <c r="N199" s="419" t="n"/>
    </row>
    <row r="200">
      <c r="G200" s="419" t="n"/>
      <c r="H200" s="419" t="n"/>
      <c r="I200" s="419" t="n"/>
      <c r="J200" s="419" t="n"/>
      <c r="K200" s="419" t="n"/>
      <c r="L200" s="141" t="n"/>
      <c r="M200" s="382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125" customWidth="1" style="527" min="1" max="1"/>
    <col width="13" customWidth="1" style="527" min="2" max="2"/>
    <col width="9.5" customWidth="1" style="527" min="3" max="3"/>
    <col width="16.375" customWidth="1" style="527" min="4" max="4"/>
    <col width="11.25" customWidth="1" style="527" min="5" max="5"/>
    <col width="11.125" customWidth="1" style="527" min="6" max="6"/>
    <col width="15" customWidth="1" style="79" min="7" max="7"/>
    <col width="8.875" customWidth="1" style="382" min="8" max="8"/>
    <col width="10.625" customWidth="1" style="382" min="9" max="9"/>
    <col width="11.75" customWidth="1" style="527" min="10" max="10"/>
  </cols>
  <sheetData>
    <row r="1" ht="18" customHeight="1" s="527">
      <c r="A1" s="4" t="n"/>
      <c r="B1" s="4" t="n"/>
      <c r="C1" s="4" t="n"/>
      <c r="D1" s="4" t="n"/>
      <c r="E1" s="4" t="n"/>
      <c r="F1" s="383" t="inlineStr">
        <is>
          <t>其他</t>
        </is>
      </c>
      <c r="G1" s="545" t="inlineStr">
        <is>
          <t>网价[2026-04-30]</t>
        </is>
      </c>
      <c r="H1" s="349" t="n">
        <v>1</v>
      </c>
      <c r="I1" s="530" t="n"/>
      <c r="J1" s="108" t="inlineStr">
        <is>
          <t>/</t>
        </is>
      </c>
      <c r="K1" s="276" t="n"/>
    </row>
    <row r="2" ht="18" customHeight="1" s="527">
      <c r="A2" s="11" t="inlineStr">
        <is>
          <t>钢材询价表（金虹）</t>
        </is>
      </c>
      <c r="F2" s="384" t="inlineStr">
        <is>
          <t>高线10基价</t>
        </is>
      </c>
      <c r="G2" s="234" t="n"/>
      <c r="H2" s="401" t="n"/>
      <c r="I2" s="309" t="inlineStr">
        <is>
          <t>/</t>
        </is>
      </c>
      <c r="J2" s="108" t="n"/>
      <c r="K2" s="276" t="n"/>
    </row>
    <row r="3" ht="18" customHeight="1" s="527">
      <c r="F3" s="384" t="inlineStr">
        <is>
          <t>盘螺10基价</t>
        </is>
      </c>
      <c r="G3" s="245" t="n">
        <v>3590</v>
      </c>
      <c r="H3" s="385" t="n">
        <v>3335</v>
      </c>
      <c r="I3" s="309" t="n"/>
      <c r="J3" s="108" t="n"/>
      <c r="K3" s="276" t="n"/>
    </row>
    <row r="4" ht="18" customHeight="1" s="527">
      <c r="A4" s="18" t="inlineStr">
        <is>
          <t xml:space="preserve"> 需求单位：</t>
        </is>
      </c>
      <c r="E4" s="533" t="n"/>
      <c r="F4" s="384" t="inlineStr">
        <is>
          <t>螺纹14基价</t>
        </is>
      </c>
      <c r="G4" s="245" t="n">
        <v>3400</v>
      </c>
      <c r="H4" s="385" t="n"/>
      <c r="I4" s="309" t="n"/>
      <c r="J4" s="108" t="n"/>
      <c r="K4" s="276" t="n"/>
    </row>
    <row r="5" ht="18" customHeight="1" s="527">
      <c r="E5" s="533" t="n"/>
      <c r="F5" s="383" t="inlineStr">
        <is>
          <t>不开票运费</t>
        </is>
      </c>
      <c r="G5" s="243" t="n"/>
      <c r="H5" s="385" t="n"/>
      <c r="I5" s="309" t="n"/>
      <c r="J5" s="108" t="n">
        <v>0</v>
      </c>
      <c r="K5" s="276" t="n"/>
    </row>
    <row r="6" ht="18" customHeight="1" s="527">
      <c r="E6" s="533" t="n"/>
      <c r="F6" s="383" t="inlineStr">
        <is>
          <t>一票制运费</t>
        </is>
      </c>
      <c r="G6" s="243" t="n"/>
      <c r="H6" s="385" t="n">
        <v>0</v>
      </c>
      <c r="I6" s="309" t="n"/>
      <c r="J6" s="108" t="n"/>
      <c r="K6" s="276" t="n"/>
    </row>
    <row r="7" ht="18" customHeight="1" s="527">
      <c r="A7" s="535" t="n"/>
      <c r="B7" s="535" t="n"/>
      <c r="C7" s="535" t="n"/>
      <c r="D7" s="535" t="n"/>
      <c r="E7" s="536" t="n"/>
      <c r="F7" s="383" t="inlineStr">
        <is>
          <t>附加运费</t>
        </is>
      </c>
      <c r="G7" s="243" t="n"/>
      <c r="H7" s="385" t="n">
        <v>0</v>
      </c>
      <c r="I7" s="309" t="n"/>
      <c r="J7" s="108" t="n"/>
      <c r="K7" s="340" t="n"/>
    </row>
    <row r="8" ht="18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86" t="n"/>
      <c r="G8" s="234" t="inlineStr">
        <is>
          <t>合肥市场网价</t>
        </is>
      </c>
      <c r="H8" s="385" t="inlineStr">
        <is>
          <t>云禧福</t>
        </is>
      </c>
      <c r="I8" s="387" t="inlineStr">
        <is>
          <t>网差</t>
        </is>
      </c>
      <c r="J8" s="108" t="inlineStr">
        <is>
          <t>正常级差</t>
        </is>
      </c>
      <c r="K8" s="340" t="inlineStr">
        <is>
          <t>件重</t>
        </is>
      </c>
    </row>
    <row r="9" ht="18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108" t="inlineStr">
        <is>
          <t>/</t>
        </is>
      </c>
      <c r="K9" s="276" t="n"/>
    </row>
    <row r="10" ht="18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108" t="inlineStr">
        <is>
          <t>/</t>
        </is>
      </c>
      <c r="K10" s="276" t="n"/>
    </row>
    <row r="11" ht="18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inlineStr">
        <is>
          <t xml:space="preserve"> </t>
        </is>
      </c>
      <c r="G11" s="246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108" t="inlineStr">
        <is>
          <t>/</t>
        </is>
      </c>
      <c r="K11" s="276" t="n"/>
    </row>
    <row r="12" ht="18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246">
        <f>G3+G6+200</f>
        <v/>
      </c>
      <c r="H12" s="21">
        <f>H3+H6+200</f>
        <v/>
      </c>
      <c r="I12" s="110">
        <f>G12-H12</f>
        <v/>
      </c>
      <c r="J12" s="108" t="n">
        <v>200</v>
      </c>
      <c r="K12" s="276" t="n"/>
    </row>
    <row r="13" ht="18" customHeight="1" s="527">
      <c r="A13" s="538" t="n"/>
      <c r="B13" s="388" t="n">
        <v>8</v>
      </c>
      <c r="C13" s="388" t="n"/>
      <c r="D13" s="388" t="inlineStr">
        <is>
          <t>HRB400E</t>
        </is>
      </c>
      <c r="E13" s="342">
        <f>报价表!E13</f>
        <v/>
      </c>
      <c r="F13" s="216" t="n"/>
      <c r="G13" s="246">
        <f>G3+G6</f>
        <v/>
      </c>
      <c r="H13" s="21">
        <f>H3+H6</f>
        <v/>
      </c>
      <c r="I13" s="110">
        <f>G13-H13</f>
        <v/>
      </c>
      <c r="J13" s="108">
        <f>J3+J6</f>
        <v/>
      </c>
      <c r="K13" s="276" t="n"/>
    </row>
    <row r="14" ht="18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89">
        <f>G3+G6</f>
        <v/>
      </c>
      <c r="H14" s="390">
        <f>H3+H6</f>
        <v/>
      </c>
      <c r="I14" s="391">
        <f>G14-H14</f>
        <v/>
      </c>
      <c r="J14" s="326">
        <f>J3+J6</f>
        <v/>
      </c>
      <c r="K14" s="276" t="n"/>
    </row>
    <row r="15" ht="18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57" t="inlineStr">
        <is>
          <t>/</t>
        </is>
      </c>
      <c r="H15" s="214" t="n"/>
      <c r="I15" s="110" t="n"/>
      <c r="J15" s="217" t="n"/>
      <c r="K15" s="340" t="n"/>
    </row>
    <row r="16" ht="18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214">
        <f>G4+G6+60</f>
        <v/>
      </c>
      <c r="H16" s="214">
        <f>H4+H6+60</f>
        <v/>
      </c>
      <c r="I16" s="110">
        <f>G16-H16</f>
        <v/>
      </c>
      <c r="J16" s="217" t="n">
        <v>60</v>
      </c>
      <c r="K16" s="340" t="n">
        <v>1.998</v>
      </c>
    </row>
    <row r="17" ht="18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214">
        <f>G4+G6+60</f>
        <v/>
      </c>
      <c r="H17" s="214">
        <f>H4+H6+60</f>
        <v/>
      </c>
      <c r="I17" s="110">
        <f>G17-H17</f>
        <v/>
      </c>
      <c r="J17" s="217" t="n"/>
      <c r="K17" s="340" t="n"/>
    </row>
    <row r="18" ht="18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218">
        <f>G4+G6</f>
        <v/>
      </c>
      <c r="H18" s="474">
        <f>H4+H6</f>
        <v/>
      </c>
      <c r="I18" s="391">
        <f>G18-H18</f>
        <v/>
      </c>
      <c r="J18" s="217" t="n">
        <v>0</v>
      </c>
      <c r="K18" s="340" t="n">
        <v>2.004</v>
      </c>
    </row>
    <row r="19" ht="18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218">
        <f>G4+G6</f>
        <v/>
      </c>
      <c r="H19" s="474">
        <f>H4+H6</f>
        <v/>
      </c>
      <c r="I19" s="391">
        <f>G19-H19</f>
        <v/>
      </c>
      <c r="J19" s="319">
        <f>J4+J6</f>
        <v/>
      </c>
      <c r="K19" s="340" t="n"/>
    </row>
    <row r="20" ht="18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21" t="inlineStr">
        <is>
          <t>/</t>
        </is>
      </c>
      <c r="H20" s="214">
        <f>H4+H6</f>
        <v/>
      </c>
      <c r="I20" s="110" t="inlineStr">
        <is>
          <t>/</t>
        </is>
      </c>
      <c r="J20" s="319" t="n">
        <v>0</v>
      </c>
      <c r="K20" s="276" t="n"/>
    </row>
    <row r="21" ht="18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21" t="inlineStr">
        <is>
          <t>/</t>
        </is>
      </c>
      <c r="H21" s="21">
        <f>H4+H6</f>
        <v/>
      </c>
      <c r="I21" s="110" t="inlineStr">
        <is>
          <t>/</t>
        </is>
      </c>
      <c r="J21" s="217">
        <f>J4+J6</f>
        <v/>
      </c>
      <c r="K21" s="276" t="n"/>
    </row>
    <row r="22" ht="18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21" t="inlineStr">
        <is>
          <t>/</t>
        </is>
      </c>
      <c r="H22" s="21" t="inlineStr">
        <is>
          <t>/</t>
        </is>
      </c>
      <c r="I22" s="110" t="inlineStr">
        <is>
          <t>/</t>
        </is>
      </c>
      <c r="J22" s="108">
        <f>J4+J6</f>
        <v/>
      </c>
      <c r="K22" s="276" t="n"/>
    </row>
    <row r="23" ht="18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21" t="inlineStr">
        <is>
          <t>/</t>
        </is>
      </c>
      <c r="H23" s="21" t="inlineStr">
        <is>
          <t>/</t>
        </is>
      </c>
      <c r="I23" s="110" t="inlineStr">
        <is>
          <t>/</t>
        </is>
      </c>
      <c r="J23" s="108" t="inlineStr">
        <is>
          <t>/</t>
        </is>
      </c>
      <c r="K23" s="276" t="n"/>
    </row>
    <row r="24" ht="18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21" t="inlineStr">
        <is>
          <t>/</t>
        </is>
      </c>
      <c r="H24" s="21" t="inlineStr">
        <is>
          <t>/</t>
        </is>
      </c>
      <c r="I24" s="110" t="inlineStr">
        <is>
          <t>/</t>
        </is>
      </c>
      <c r="J24" s="108" t="inlineStr">
        <is>
          <t>/</t>
        </is>
      </c>
      <c r="K24" s="276" t="n"/>
    </row>
    <row r="25" ht="18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21" t="inlineStr">
        <is>
          <t>/</t>
        </is>
      </c>
      <c r="H25" s="21" t="inlineStr">
        <is>
          <t>/</t>
        </is>
      </c>
      <c r="I25" s="110" t="inlineStr">
        <is>
          <t>/</t>
        </is>
      </c>
      <c r="J25" s="108" t="inlineStr">
        <is>
          <t>/</t>
        </is>
      </c>
      <c r="K25" s="276" t="n"/>
    </row>
    <row r="26" ht="18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21" t="inlineStr">
        <is>
          <t>/</t>
        </is>
      </c>
      <c r="H26" s="21" t="inlineStr">
        <is>
          <t>/</t>
        </is>
      </c>
      <c r="I26" s="110" t="inlineStr">
        <is>
          <t>/</t>
        </is>
      </c>
      <c r="J26" s="108" t="inlineStr">
        <is>
          <t>/</t>
        </is>
      </c>
      <c r="K26" s="276" t="n"/>
    </row>
    <row r="27" ht="18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21" t="inlineStr">
        <is>
          <t>/</t>
        </is>
      </c>
      <c r="H27" s="21" t="inlineStr">
        <is>
          <t>/</t>
        </is>
      </c>
      <c r="I27" s="110" t="inlineStr">
        <is>
          <t>/</t>
        </is>
      </c>
      <c r="J27" s="108" t="inlineStr">
        <is>
          <t>/</t>
        </is>
      </c>
      <c r="K27" s="276" t="n"/>
    </row>
    <row r="28" ht="18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21" t="inlineStr">
        <is>
          <t>/</t>
        </is>
      </c>
      <c r="H28" s="21" t="inlineStr">
        <is>
          <t>/</t>
        </is>
      </c>
      <c r="I28" s="110" t="inlineStr">
        <is>
          <t>/</t>
        </is>
      </c>
      <c r="J28" s="108" t="inlineStr">
        <is>
          <t>/</t>
        </is>
      </c>
      <c r="K28" s="276" t="n"/>
    </row>
    <row r="29" ht="18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21" t="inlineStr">
        <is>
          <t>/</t>
        </is>
      </c>
      <c r="H29" s="21" t="inlineStr">
        <is>
          <t>/</t>
        </is>
      </c>
      <c r="I29" s="110" t="inlineStr">
        <is>
          <t>/</t>
        </is>
      </c>
      <c r="J29" s="108" t="inlineStr">
        <is>
          <t>/</t>
        </is>
      </c>
      <c r="K29" s="276" t="n"/>
    </row>
    <row r="30" ht="18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21" t="inlineStr">
        <is>
          <t>/</t>
        </is>
      </c>
      <c r="H30" s="21" t="inlineStr">
        <is>
          <t>/</t>
        </is>
      </c>
      <c r="I30" s="110" t="inlineStr">
        <is>
          <t>/</t>
        </is>
      </c>
      <c r="J30" s="108" t="inlineStr">
        <is>
          <t>/</t>
        </is>
      </c>
      <c r="K30" s="276" t="n"/>
    </row>
    <row r="31" ht="18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21" t="inlineStr">
        <is>
          <t>/</t>
        </is>
      </c>
      <c r="H31" s="21" t="inlineStr">
        <is>
          <t>/</t>
        </is>
      </c>
      <c r="I31" s="110" t="inlineStr">
        <is>
          <t>/</t>
        </is>
      </c>
      <c r="J31" s="108" t="inlineStr">
        <is>
          <t>/</t>
        </is>
      </c>
      <c r="K31" s="276" t="n"/>
    </row>
    <row r="32" ht="18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21" t="inlineStr">
        <is>
          <t>/</t>
        </is>
      </c>
      <c r="H32" s="21" t="inlineStr">
        <is>
          <t>/</t>
        </is>
      </c>
      <c r="I32" s="110" t="inlineStr">
        <is>
          <t>/</t>
        </is>
      </c>
      <c r="J32" s="108" t="inlineStr">
        <is>
          <t>/</t>
        </is>
      </c>
      <c r="K32" s="276" t="n"/>
    </row>
    <row r="33" ht="18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21" t="inlineStr">
        <is>
          <t>/</t>
        </is>
      </c>
      <c r="H33" s="21" t="inlineStr">
        <is>
          <t>/</t>
        </is>
      </c>
      <c r="I33" s="110" t="inlineStr">
        <is>
          <t>/</t>
        </is>
      </c>
      <c r="J33" s="108" t="inlineStr">
        <is>
          <t>/</t>
        </is>
      </c>
      <c r="K33" s="276" t="n"/>
    </row>
    <row r="34" ht="18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93" t="inlineStr">
        <is>
          <t>备注</t>
        </is>
      </c>
      <c r="G34" s="345" t="n"/>
      <c r="H34" s="343" t="n"/>
      <c r="I34" s="365" t="n"/>
      <c r="J34" s="108" t="inlineStr">
        <is>
          <t>/</t>
        </is>
      </c>
      <c r="K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394" t="n"/>
      <c r="K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鄂钢">
    <tabColor rgb="FFFF0000"/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6" t="inlineStr">
        <is>
          <t>网价[2026-04-29]</t>
        </is>
      </c>
      <c r="H1" s="371" t="n">
        <v>1</v>
      </c>
      <c r="I1" s="531" t="n"/>
      <c r="J1" s="9" t="n"/>
      <c r="K1" s="9" t="n"/>
    </row>
    <row r="2" ht="14.25" customHeight="1" s="527">
      <c r="A2" s="89" t="inlineStr">
        <is>
          <t>钢材询价表（鄂钢）</t>
        </is>
      </c>
      <c r="F2" s="90" t="inlineStr">
        <is>
          <t>高线10基价</t>
        </is>
      </c>
      <c r="G2" s="372" t="inlineStr">
        <is>
          <t>/</t>
        </is>
      </c>
      <c r="H2" s="310" t="n"/>
      <c r="I2" s="373" t="inlineStr">
        <is>
          <t>/</t>
        </is>
      </c>
      <c r="J2" s="9" t="n"/>
      <c r="K2" s="204" t="n"/>
    </row>
    <row r="3" ht="16.5" customHeight="1" s="527">
      <c r="F3" s="90" t="inlineStr">
        <is>
          <t>盘螺10基价</t>
        </is>
      </c>
      <c r="G3" s="245" t="n">
        <v>3630</v>
      </c>
      <c r="H3" s="310" t="n">
        <v>3390</v>
      </c>
      <c r="I3" s="373" t="n"/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3390</v>
      </c>
      <c r="H4" s="310" t="n"/>
      <c r="I4" s="373" t="n"/>
      <c r="J4" s="9" t="n"/>
      <c r="K4" s="204" t="n"/>
    </row>
    <row r="5" ht="14.25" customHeight="1" s="527">
      <c r="E5" s="533" t="n"/>
      <c r="F5" s="101" t="inlineStr">
        <is>
          <t>不开票运费</t>
        </is>
      </c>
      <c r="G5" s="249" t="n"/>
      <c r="H5" s="310" t="n"/>
      <c r="I5" s="373" t="inlineStr">
        <is>
          <t>/</t>
        </is>
      </c>
      <c r="J5" s="9" t="n"/>
      <c r="K5" s="204" t="n"/>
    </row>
    <row r="6" ht="14.25" customHeight="1" s="527">
      <c r="E6" s="533" t="n"/>
      <c r="F6" s="101" t="inlineStr">
        <is>
          <t>一票制运费</t>
        </is>
      </c>
      <c r="G6" s="249" t="n">
        <v>0</v>
      </c>
      <c r="H6" s="310" t="n"/>
      <c r="I6" s="373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9" t="n"/>
      <c r="H7" s="310" t="n"/>
      <c r="I7" s="373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374" t="inlineStr">
        <is>
          <t>合肥市场网价</t>
        </is>
      </c>
      <c r="H8" s="310" t="inlineStr">
        <is>
          <t>金钢</t>
        </is>
      </c>
      <c r="I8" s="373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372" t="inlineStr">
        <is>
          <t>/</t>
        </is>
      </c>
      <c r="H9" s="21" t="inlineStr">
        <is>
          <t>/</t>
        </is>
      </c>
      <c r="I9" s="288" t="inlineStr">
        <is>
          <t>/</t>
        </is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372" t="inlineStr">
        <is>
          <t>/</t>
        </is>
      </c>
      <c r="H10" s="21" t="inlineStr">
        <is>
          <t>/</t>
        </is>
      </c>
      <c r="I10" s="288" t="inlineStr">
        <is>
          <t>/</t>
        </is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372" t="inlineStr">
        <is>
          <t>/</t>
        </is>
      </c>
      <c r="H11" s="21" t="inlineStr">
        <is>
          <t>/</t>
        </is>
      </c>
      <c r="I11" s="288" t="inlineStr">
        <is>
          <t>/</t>
        </is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375">
        <f>G3++G6+290+10</f>
        <v/>
      </c>
      <c r="H12" s="21">
        <f>H3+H6+300</f>
        <v/>
      </c>
      <c r="I12" s="288">
        <f>G12-H12</f>
        <v/>
      </c>
      <c r="J12" s="376" t="n">
        <v>300</v>
      </c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191">
        <f>G3+G6+G7</f>
        <v/>
      </c>
      <c r="H13" s="450">
        <f>H3+H6+H7</f>
        <v/>
      </c>
      <c r="I13" s="288">
        <f>G13-H13</f>
        <v/>
      </c>
      <c r="J13" s="376" t="n">
        <v>0</v>
      </c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92">
        <f>G3+G6+G7</f>
        <v/>
      </c>
      <c r="H14" s="157">
        <f>H3+H6+H7</f>
        <v/>
      </c>
      <c r="I14" s="288">
        <f>G14-H14</f>
        <v/>
      </c>
      <c r="J14" s="376" t="n">
        <v>0</v>
      </c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193" t="n"/>
      <c r="H15" s="450" t="n"/>
      <c r="I15" s="110" t="n"/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193">
        <f>G4+G6+G7+90+10</f>
        <v/>
      </c>
      <c r="H16" s="450">
        <f>H4+H6+H7+100</f>
        <v/>
      </c>
      <c r="I16" s="288">
        <f>G16-H16</f>
        <v/>
      </c>
      <c r="J16" s="376" t="n">
        <v>100</v>
      </c>
      <c r="K16" s="286" t="n">
        <v>2.797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193">
        <f>G4+G6+G7+90+10</f>
        <v/>
      </c>
      <c r="H17" s="450">
        <f>H4+H6+H7+100</f>
        <v/>
      </c>
      <c r="I17" s="288">
        <f>G17-H17</f>
        <v/>
      </c>
      <c r="J17" s="376" t="n">
        <v>100</v>
      </c>
      <c r="K17" s="286" t="n">
        <v>2.984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193">
        <f>G4+G6+G7+30+20</f>
        <v/>
      </c>
      <c r="H18" s="450">
        <f>H4+H6+H7+50</f>
        <v/>
      </c>
      <c r="I18" s="288">
        <f>G18-H18</f>
        <v/>
      </c>
      <c r="J18" s="376" t="n">
        <v>50</v>
      </c>
      <c r="K18" s="286" t="n">
        <v>3.158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193">
        <f>G4+G6+G7+30+20</f>
        <v/>
      </c>
      <c r="H19" s="450">
        <f>H4+H6+H7+50</f>
        <v/>
      </c>
      <c r="I19" s="288">
        <f>G19-H19</f>
        <v/>
      </c>
      <c r="J19" s="376" t="n">
        <v>50</v>
      </c>
      <c r="K19" s="286" t="n">
        <v>3.194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G4+G6+G7+30+20</f>
        <v/>
      </c>
      <c r="H20" s="450">
        <f>H4+H6+H7+30+20</f>
        <v/>
      </c>
      <c r="I20" s="288">
        <f>G20-H20</f>
        <v/>
      </c>
      <c r="J20" s="376" t="n">
        <v>30</v>
      </c>
      <c r="K20" s="286" t="n">
        <v>3.128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G4+G6+G7+30+20</f>
        <v/>
      </c>
      <c r="H21" s="450">
        <f>H4+H6+H7+30+20</f>
        <v/>
      </c>
      <c r="I21" s="288">
        <f>G21-H21</f>
        <v/>
      </c>
      <c r="J21" s="376" t="n">
        <v>30</v>
      </c>
      <c r="K21" s="286" t="n">
        <v>3.223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G4+G6+G7</f>
        <v/>
      </c>
      <c r="H22" s="157">
        <f>H4+H6+H7+20</f>
        <v/>
      </c>
      <c r="I22" s="288">
        <f>G22-H22</f>
        <v/>
      </c>
      <c r="J22" s="376" t="n">
        <v>0</v>
      </c>
      <c r="K22" s="286" t="n">
        <v>3.24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G4+G6+G7</f>
        <v/>
      </c>
      <c r="H23" s="157">
        <f>H4+H6+H7+20</f>
        <v/>
      </c>
      <c r="I23" s="288">
        <f>G23-H23</f>
        <v/>
      </c>
      <c r="J23" s="376" t="n">
        <v>0</v>
      </c>
      <c r="K23" s="286" t="n">
        <v>3.12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G4+G6+G7+50</f>
        <v/>
      </c>
      <c r="H24" s="450">
        <f>H4+H6+H7+50</f>
        <v/>
      </c>
      <c r="I24" s="288">
        <f>G24-H24</f>
        <v/>
      </c>
      <c r="J24" s="376" t="n">
        <v>50</v>
      </c>
      <c r="K24" s="286" t="n">
        <v>3.112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G4+G6+G7+50</f>
        <v/>
      </c>
      <c r="H25" s="450">
        <f>H4+H6+H7+50</f>
        <v/>
      </c>
      <c r="I25" s="288">
        <f>G25-H25</f>
        <v/>
      </c>
      <c r="J25" s="376" t="n">
        <v>50</v>
      </c>
      <c r="K25" s="286" t="n">
        <v>3.26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G4+G6+G7+50+30</f>
        <v/>
      </c>
      <c r="H26" s="450">
        <f>H4+H6+H7+50+30</f>
        <v/>
      </c>
      <c r="I26" s="288">
        <f>G26-H26</f>
        <v/>
      </c>
      <c r="J26" s="376" t="n">
        <v>80</v>
      </c>
      <c r="K26" s="286" t="n">
        <v>3.218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193">
        <f>G4+G6+G7+50+30</f>
        <v/>
      </c>
      <c r="H27" s="450">
        <f>H4+H6+H7+50+30</f>
        <v/>
      </c>
      <c r="I27" s="288">
        <f>G27-H27</f>
        <v/>
      </c>
      <c r="J27" s="376" t="n">
        <v>80</v>
      </c>
      <c r="K27" s="286" t="n">
        <v>3.218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450">
        <f>H4+H6+H7+80</f>
        <v/>
      </c>
      <c r="I28" s="288">
        <f>G28-H28</f>
        <v/>
      </c>
      <c r="J28" s="376" t="n">
        <v>80</v>
      </c>
      <c r="K28" s="286" t="n">
        <v>3.119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G4+G6+G7+60+20</f>
        <v/>
      </c>
      <c r="H29" s="450">
        <f>H4+H6+H7+80</f>
        <v/>
      </c>
      <c r="I29" s="288">
        <f>G29-H29</f>
        <v/>
      </c>
      <c r="J29" s="376" t="n">
        <v>80</v>
      </c>
      <c r="K29" s="286" t="n">
        <v>3.234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G4+G6+G7+120+30</f>
        <v/>
      </c>
      <c r="H30" s="450">
        <f>H4+H6+H7+120+30</f>
        <v/>
      </c>
      <c r="I30" s="288">
        <f>G30-H30</f>
        <v/>
      </c>
      <c r="J30" s="376" t="n">
        <v>150</v>
      </c>
      <c r="K30" s="286" t="n">
        <v>3.26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G4+G6+G7+120+30</f>
        <v/>
      </c>
      <c r="H31" s="450">
        <f>H4+H6+H7+120+30</f>
        <v/>
      </c>
      <c r="I31" s="288">
        <f>G31-H31</f>
        <v/>
      </c>
      <c r="J31" s="376" t="n">
        <v>150</v>
      </c>
      <c r="K31" s="286" t="n">
        <v>3.188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G4+G6+G7+120+30</f>
        <v/>
      </c>
      <c r="H32" s="450">
        <f>H4+H6+H7+120+30</f>
        <v/>
      </c>
      <c r="I32" s="288">
        <f>G32-H32</f>
        <v/>
      </c>
      <c r="J32" s="376" t="n">
        <v>150</v>
      </c>
      <c r="K32" s="286" t="n">
        <v>3.123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G4+G6+G7+120+30</f>
        <v/>
      </c>
      <c r="H33" s="450">
        <f>H4+H6+H7+120+30</f>
        <v/>
      </c>
      <c r="I33" s="288">
        <f>G33-H33</f>
        <v/>
      </c>
      <c r="J33" s="376" t="n">
        <v>150</v>
      </c>
      <c r="K33" s="286" t="n">
        <v>3.029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37" t="inlineStr">
        <is>
          <t>运费报价单位</t>
        </is>
      </c>
      <c r="G34" s="377" t="n"/>
      <c r="H34" s="378" t="n"/>
      <c r="I34" s="379" t="n"/>
      <c r="J34" s="299" t="n"/>
      <c r="K34" s="380" t="n"/>
    </row>
    <row r="35" ht="29.25" customHeight="1" s="527">
      <c r="A35" s="133" t="n"/>
      <c r="B35" s="133" t="n"/>
      <c r="C35" s="133" t="n"/>
      <c r="D35" s="133" t="n"/>
      <c r="E35" s="133" t="n"/>
      <c r="F35" s="441" t="inlineStr">
        <is>
          <t>不开票运费</t>
        </is>
      </c>
      <c r="G35" s="43" t="n"/>
      <c r="H35" s="473" t="n"/>
      <c r="I35" s="189" t="n"/>
      <c r="J35" s="299" t="n"/>
      <c r="K35" s="380" t="n"/>
    </row>
    <row r="36">
      <c r="A36" s="444" t="n"/>
      <c r="B36" s="444" t="n"/>
      <c r="C36" s="444" t="n"/>
      <c r="D36" s="444" t="n"/>
      <c r="E36" s="444" t="n"/>
      <c r="F36" s="419" t="n"/>
      <c r="G36" s="440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419" t="n"/>
      <c r="G37" s="440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419" t="n"/>
      <c r="G38" s="440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419" t="n"/>
      <c r="G39" s="440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419" t="n"/>
      <c r="G40" s="440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419" t="n"/>
      <c r="G41" s="440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419" t="n"/>
      <c r="G42" s="440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419" t="n"/>
      <c r="G43" s="440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419" t="n"/>
      <c r="G44" s="440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419" t="n"/>
      <c r="G45" s="440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419" t="n"/>
      <c r="G46" s="440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419" t="n"/>
      <c r="G47" s="440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419" t="n"/>
      <c r="G48" s="440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419" t="n"/>
      <c r="G49" s="440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419" t="n"/>
      <c r="G50" s="440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419" t="n"/>
      <c r="G51" s="440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419" t="n"/>
      <c r="G52" s="440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419" t="n"/>
      <c r="G53" s="440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419" t="n"/>
      <c r="G54" s="440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419" t="n"/>
      <c r="G55" s="440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419" t="n"/>
      <c r="G56" s="440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419" t="n"/>
      <c r="G57" s="440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419" t="n"/>
      <c r="G58" s="440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419" t="n"/>
      <c r="G59" s="440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419" t="n"/>
      <c r="G60" s="440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419" t="n"/>
      <c r="G61" s="440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419" t="n"/>
      <c r="G62" s="440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419" t="n"/>
      <c r="G63" s="440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419" t="n"/>
      <c r="G64" s="440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419" t="n"/>
      <c r="G65" s="440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419" t="n"/>
      <c r="G66" s="440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419" t="n"/>
      <c r="G67" s="440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419" t="n"/>
      <c r="G68" s="440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419" t="n"/>
      <c r="G69" s="440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419" t="n"/>
      <c r="G70" s="440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419" t="n"/>
      <c r="G71" s="440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419" t="n"/>
      <c r="G72" s="440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419" t="n"/>
      <c r="G73" s="440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419" t="n"/>
      <c r="G74" s="440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419" t="n"/>
      <c r="G75" s="440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419" t="n"/>
      <c r="G76" s="440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419" t="n"/>
      <c r="G77" s="440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419" t="n"/>
      <c r="G78" s="440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419" t="n"/>
      <c r="G79" s="440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419" t="n"/>
      <c r="G80" s="440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419" t="n"/>
      <c r="G81" s="440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419" t="n"/>
      <c r="G82" s="440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419" t="n"/>
      <c r="G83" s="440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419" t="n"/>
      <c r="G84" s="440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419" t="n"/>
      <c r="G85" s="440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419" t="n"/>
      <c r="G86" s="440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419" t="n"/>
      <c r="G87" s="440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419" t="n"/>
      <c r="G88" s="440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419" t="n"/>
      <c r="G89" s="440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419" t="n"/>
      <c r="G90" s="440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419" t="n"/>
      <c r="G91" s="440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419" t="n"/>
      <c r="G92" s="440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419" t="n"/>
      <c r="G93" s="440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419" t="n"/>
      <c r="G94" s="440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419" t="n"/>
      <c r="G95" s="440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419" t="n"/>
      <c r="G96" s="440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419" t="n"/>
      <c r="G97" s="440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419" t="n"/>
      <c r="G98" s="440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419" t="n"/>
      <c r="G99" s="440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419" t="n"/>
      <c r="G100" s="440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419" t="n"/>
      <c r="G101" s="440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419" t="n"/>
      <c r="G102" s="440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419" t="n"/>
      <c r="G103" s="440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419" t="n"/>
      <c r="G104" s="440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419" t="n"/>
      <c r="G105" s="440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419" t="n"/>
      <c r="G106" s="440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419" t="n"/>
      <c r="G107" s="440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419" t="n"/>
      <c r="G108" s="440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419" t="n"/>
      <c r="G109" s="440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419" t="n"/>
      <c r="G110" s="440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419" t="n"/>
      <c r="G111" s="440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419" t="n"/>
      <c r="G112" s="440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419" t="n"/>
      <c r="G113" s="440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419" t="n"/>
      <c r="G114" s="440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419" t="n"/>
      <c r="G115" s="440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419" t="n"/>
      <c r="G116" s="440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419" t="n"/>
      <c r="G117" s="440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419" t="n"/>
      <c r="G118" s="440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419" t="n"/>
      <c r="G119" s="440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419" t="n"/>
      <c r="G120" s="440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419" t="n"/>
      <c r="G121" s="440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419" t="n"/>
      <c r="G122" s="440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419" t="n"/>
      <c r="G123" s="440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419" t="n"/>
      <c r="G124" s="440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419" t="n"/>
      <c r="G125" s="440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419" t="n"/>
      <c r="G126" s="440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419" t="n"/>
      <c r="G127" s="440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419" t="n"/>
      <c r="G128" s="440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419" t="n"/>
      <c r="G129" s="440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419" t="n"/>
      <c r="G130" s="440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419" t="n"/>
      <c r="G131" s="440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419" t="n"/>
      <c r="G132" s="440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419" t="n"/>
      <c r="G133" s="440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419" t="n"/>
      <c r="G134" s="440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419" t="n"/>
      <c r="G135" s="440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419" t="n"/>
      <c r="G136" s="440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419" t="n"/>
      <c r="G137" s="440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419" t="n"/>
      <c r="G138" s="440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419" t="n"/>
      <c r="G139" s="440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419" t="n"/>
      <c r="G140" s="440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419" t="n"/>
      <c r="G141" s="440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419" t="n"/>
      <c r="G142" s="440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419" t="n"/>
      <c r="G143" s="440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419" t="n"/>
      <c r="G144" s="440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419" t="n"/>
      <c r="G145" s="440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419" t="n"/>
      <c r="G146" s="440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419" t="n"/>
      <c r="G147" s="440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419" t="n"/>
      <c r="G148" s="440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419" t="n"/>
      <c r="G149" s="440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419" t="n"/>
      <c r="G150" s="440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419" t="n"/>
      <c r="G151" s="440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419" t="n"/>
      <c r="G152" s="440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419" t="n"/>
      <c r="G153" s="440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419" t="n"/>
      <c r="G154" s="440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419" t="n"/>
      <c r="G155" s="440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419" t="n"/>
      <c r="G156" s="440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419" t="n"/>
      <c r="G157" s="440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419" t="n"/>
      <c r="G158" s="440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419" t="n"/>
      <c r="G159" s="440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419" t="n"/>
      <c r="G160" s="440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419" t="n"/>
      <c r="G161" s="440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419" t="n"/>
      <c r="G162" s="440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419" t="n"/>
      <c r="G163" s="440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419" t="n"/>
      <c r="G164" s="440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419" t="n"/>
      <c r="G165" s="440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419" t="n"/>
      <c r="G166" s="440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419" t="n"/>
      <c r="G167" s="440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419" t="n"/>
      <c r="G168" s="440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419" t="n"/>
      <c r="G169" s="440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419" t="n"/>
      <c r="G170" s="440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419" t="n"/>
      <c r="G171" s="440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419" t="n"/>
      <c r="G172" s="440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419" t="n"/>
      <c r="G173" s="440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419" t="n"/>
      <c r="G174" s="440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419" t="n"/>
      <c r="G175" s="440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419" t="n"/>
      <c r="G176" s="440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419" t="n"/>
      <c r="G177" s="440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419" t="n"/>
      <c r="G178" s="440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419" t="n"/>
      <c r="G179" s="440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419" t="n"/>
      <c r="G180" s="440" t="n"/>
      <c r="H180" s="226" t="n"/>
      <c r="I180" s="226" t="n"/>
      <c r="J180" s="419" t="n"/>
      <c r="K180" s="419" t="n"/>
    </row>
    <row r="181">
      <c r="F181" s="419" t="n"/>
      <c r="G181" s="440" t="n"/>
      <c r="H181" s="419" t="n"/>
      <c r="I181" s="419" t="n"/>
      <c r="J181" s="419" t="n"/>
      <c r="K181" s="419" t="n"/>
    </row>
    <row r="182">
      <c r="F182" s="419" t="n"/>
      <c r="G182" s="440" t="n"/>
      <c r="H182" s="419" t="n"/>
      <c r="I182" s="419" t="n"/>
      <c r="J182" s="419" t="n"/>
      <c r="K182" s="419" t="n"/>
    </row>
    <row r="183">
      <c r="F183" s="419" t="n"/>
      <c r="G183" s="440" t="n"/>
      <c r="H183" s="419" t="n"/>
      <c r="I183" s="419" t="n"/>
      <c r="J183" s="419" t="n"/>
      <c r="K183" s="419" t="n"/>
    </row>
    <row r="184">
      <c r="F184" s="419" t="n"/>
      <c r="G184" s="440" t="n"/>
      <c r="H184" s="419" t="n"/>
      <c r="I184" s="419" t="n"/>
      <c r="J184" s="419" t="n"/>
      <c r="K184" s="419" t="n"/>
    </row>
    <row r="185">
      <c r="F185" s="419" t="n"/>
      <c r="G185" s="440" t="n"/>
      <c r="H185" s="419" t="n"/>
      <c r="I185" s="419" t="n"/>
      <c r="J185" s="419" t="n"/>
      <c r="K185" s="419" t="n"/>
    </row>
    <row r="186">
      <c r="F186" s="419" t="n"/>
      <c r="G186" s="440" t="n"/>
      <c r="H186" s="419" t="n"/>
      <c r="I186" s="419" t="n"/>
      <c r="J186" s="419" t="n"/>
      <c r="K186" s="419" t="n"/>
    </row>
    <row r="187">
      <c r="F187" s="419" t="n"/>
      <c r="G187" s="440" t="n"/>
      <c r="H187" s="419" t="n"/>
      <c r="I187" s="419" t="n"/>
      <c r="J187" s="419" t="n"/>
      <c r="K187" s="419" t="n"/>
    </row>
    <row r="188">
      <c r="F188" s="419" t="n"/>
      <c r="G188" s="440" t="n"/>
      <c r="H188" s="419" t="n"/>
      <c r="I188" s="419" t="n"/>
      <c r="J188" s="419" t="n"/>
      <c r="K188" s="419" t="n"/>
    </row>
    <row r="189">
      <c r="F189" s="419" t="n"/>
      <c r="G189" s="440" t="n"/>
      <c r="H189" s="419" t="n"/>
      <c r="I189" s="419" t="n"/>
      <c r="J189" s="419" t="n"/>
      <c r="K189" s="419" t="n"/>
    </row>
    <row r="190">
      <c r="F190" s="419" t="n"/>
      <c r="G190" s="440" t="n"/>
      <c r="H190" s="419" t="n"/>
      <c r="I190" s="419" t="n"/>
      <c r="J190" s="419" t="n"/>
      <c r="K190" s="419" t="n"/>
    </row>
    <row r="191">
      <c r="F191" s="419" t="n"/>
      <c r="G191" s="440" t="n"/>
      <c r="H191" s="419" t="n"/>
      <c r="I191" s="419" t="n"/>
      <c r="J191" s="419" t="n"/>
      <c r="K191" s="419" t="n"/>
    </row>
    <row r="192">
      <c r="F192" s="419" t="n"/>
      <c r="G192" s="440" t="n"/>
      <c r="H192" s="419" t="n"/>
      <c r="I192" s="419" t="n"/>
      <c r="J192" s="419" t="n"/>
      <c r="K192" s="419" t="n"/>
    </row>
    <row r="193">
      <c r="F193" s="419" t="n"/>
      <c r="G193" s="440" t="n"/>
      <c r="H193" s="419" t="n"/>
      <c r="I193" s="419" t="n"/>
      <c r="J193" s="419" t="n"/>
      <c r="K193" s="419" t="n"/>
    </row>
    <row r="194">
      <c r="F194" s="419" t="n"/>
      <c r="G194" s="440" t="n"/>
      <c r="H194" s="419" t="n"/>
      <c r="I194" s="419" t="n"/>
      <c r="J194" s="419" t="n"/>
      <c r="K194" s="419" t="n"/>
    </row>
    <row r="195">
      <c r="F195" s="419" t="n"/>
      <c r="G195" s="440" t="n"/>
      <c r="H195" s="419" t="n"/>
      <c r="I195" s="419" t="n"/>
      <c r="J195" s="419" t="n"/>
      <c r="K195" s="419" t="n"/>
    </row>
    <row r="196">
      <c r="F196" s="419" t="n"/>
      <c r="G196" s="440" t="n"/>
      <c r="H196" s="419" t="n"/>
      <c r="I196" s="419" t="n"/>
      <c r="J196" s="419" t="n"/>
      <c r="K196" s="419" t="n"/>
    </row>
    <row r="197">
      <c r="F197" s="419" t="n"/>
      <c r="G197" s="440" t="n"/>
      <c r="H197" s="419" t="n"/>
      <c r="I197" s="419" t="n"/>
      <c r="J197" s="419" t="n"/>
      <c r="K197" s="419" t="n"/>
    </row>
    <row r="198">
      <c r="F198" s="419" t="n"/>
      <c r="G198" s="440" t="n"/>
      <c r="H198" s="419" t="n"/>
      <c r="I198" s="419" t="n"/>
      <c r="J198" s="419" t="n"/>
      <c r="K198" s="419" t="n"/>
    </row>
    <row r="199">
      <c r="F199" s="419" t="n"/>
      <c r="G199" s="440" t="n"/>
      <c r="H199" s="419" t="n"/>
      <c r="I199" s="419" t="n"/>
      <c r="J199" s="419" t="n"/>
      <c r="K199" s="419" t="n"/>
    </row>
    <row r="200">
      <c r="F200" s="419" t="n"/>
      <c r="G200" s="44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" customWidth="1" style="526" min="1" max="1"/>
    <col width="13" customWidth="1" style="526" min="2" max="2"/>
    <col width="11.25" customWidth="1" style="526" min="3" max="3"/>
    <col width="14.875" customWidth="1" style="526" min="4" max="4"/>
    <col width="11.25" customWidth="1" style="526" min="5" max="5"/>
    <col width="11.125" customWidth="1" style="527" min="6" max="6"/>
    <col width="13.125" customWidth="1" style="228" min="7" max="7"/>
    <col width="13.375" customWidth="1" style="526" min="8" max="8"/>
    <col width="13.125" customWidth="1" style="526" min="9" max="9"/>
    <col hidden="1" width="8.625" customWidth="1" style="526" min="10" max="10"/>
    <col hidden="1" width="13.125" customWidth="1" style="526" min="11" max="11"/>
    <col width="8.875" customWidth="1" style="143" min="12" max="12"/>
  </cols>
  <sheetData>
    <row r="1" ht="14.25" customHeight="1" s="527">
      <c r="A1" s="4" t="n"/>
      <c r="B1" s="4" t="n"/>
      <c r="C1" s="4" t="n"/>
      <c r="D1" s="4" t="n"/>
      <c r="E1" s="4" t="n"/>
      <c r="F1" s="353" t="inlineStr">
        <is>
          <t>其他</t>
        </is>
      </c>
      <c r="G1" s="545" t="inlineStr">
        <is>
          <t>网价[2026-04-30]</t>
        </is>
      </c>
      <c r="H1" s="349" t="n">
        <v>1</v>
      </c>
      <c r="I1" s="530" t="n"/>
      <c r="J1" s="350" t="n">
        <v>2</v>
      </c>
      <c r="K1" s="530" t="n"/>
      <c r="L1" s="9" t="n"/>
      <c r="M1" s="9" t="n"/>
    </row>
    <row r="2" ht="14.25" customHeight="1" s="527">
      <c r="A2" s="11" t="inlineStr">
        <is>
          <t>钢材询价表（ 闽源）</t>
        </is>
      </c>
      <c r="F2" s="90" t="inlineStr">
        <is>
          <t>高线10基价</t>
        </is>
      </c>
      <c r="G2" s="234" t="n"/>
      <c r="H2" s="354" t="n"/>
      <c r="I2" s="385" t="n"/>
      <c r="J2" s="101" t="n"/>
      <c r="K2" s="353" t="n"/>
      <c r="L2" s="108" t="n"/>
      <c r="M2" s="9" t="n"/>
    </row>
    <row r="3" ht="14.25" customHeight="1" s="527">
      <c r="F3" s="90" t="inlineStr">
        <is>
          <t>盘螺10基价</t>
        </is>
      </c>
      <c r="G3" s="245" t="n">
        <v>3590</v>
      </c>
      <c r="H3" s="354" t="n">
        <v>3370</v>
      </c>
      <c r="I3" s="385" t="n"/>
      <c r="J3" s="101" t="n"/>
      <c r="K3" s="353" t="n"/>
      <c r="L3" s="108" t="n"/>
      <c r="M3" s="9" t="n"/>
    </row>
    <row r="4" ht="14.2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3430</v>
      </c>
      <c r="H4" s="354" t="n">
        <v>3190</v>
      </c>
      <c r="I4" s="385" t="n"/>
      <c r="J4" s="101" t="n"/>
      <c r="K4" s="353" t="n"/>
      <c r="L4" s="108" t="n"/>
      <c r="M4" s="9" t="n"/>
    </row>
    <row r="5" ht="14.25" customHeight="1" s="527">
      <c r="E5" s="533" t="n"/>
      <c r="F5" s="353" t="inlineStr">
        <is>
          <t>不开票运费</t>
        </is>
      </c>
      <c r="G5" s="243" t="n"/>
      <c r="H5" s="354" t="n"/>
      <c r="I5" s="385" t="n"/>
      <c r="J5" s="101" t="n">
        <v>0</v>
      </c>
      <c r="K5" s="353" t="n"/>
      <c r="L5" s="108" t="n"/>
      <c r="M5" s="9" t="n"/>
    </row>
    <row r="6" ht="14.25" customHeight="1" s="527">
      <c r="E6" s="533" t="n"/>
      <c r="F6" s="353" t="inlineStr">
        <is>
          <t>一票制运费</t>
        </is>
      </c>
      <c r="G6" s="243" t="n"/>
      <c r="H6" s="354" t="n"/>
      <c r="I6" s="385" t="n"/>
      <c r="J6" s="101" t="n"/>
      <c r="K6" s="353" t="n"/>
      <c r="L6" s="108" t="n">
        <v>0</v>
      </c>
      <c r="M6" s="9" t="n"/>
    </row>
    <row r="7" ht="16.5" customHeight="1" s="527">
      <c r="A7" s="535" t="n"/>
      <c r="B7" s="535" t="n"/>
      <c r="C7" s="535" t="n"/>
      <c r="D7" s="535" t="n"/>
      <c r="E7" s="536" t="n"/>
      <c r="F7" s="353" t="inlineStr">
        <is>
          <t>附加运费</t>
        </is>
      </c>
      <c r="G7" s="243" t="n"/>
      <c r="H7" s="354" t="n"/>
      <c r="I7" s="385" t="n"/>
      <c r="J7" s="101" t="n">
        <v>0</v>
      </c>
      <c r="K7" s="353" t="n"/>
      <c r="L7" s="108" t="n"/>
      <c r="M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55" t="n"/>
      <c r="G8" s="234" t="inlineStr">
        <is>
          <t>合肥市场网价</t>
        </is>
      </c>
      <c r="H8" s="354" t="inlineStr">
        <is>
          <t>金钢</t>
        </is>
      </c>
      <c r="I8" s="385" t="inlineStr">
        <is>
          <t>网差</t>
        </is>
      </c>
      <c r="J8" s="101" t="inlineStr">
        <is>
          <t>徐州库</t>
        </is>
      </c>
      <c r="K8" s="353" t="inlineStr">
        <is>
          <t>网差</t>
        </is>
      </c>
      <c r="L8" s="108" t="inlineStr">
        <is>
          <t>正常级差</t>
        </is>
      </c>
      <c r="M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310">
        <f>H2+400</f>
        <v/>
      </c>
      <c r="I9" s="310" t="inlineStr">
        <is>
          <t>/</t>
        </is>
      </c>
      <c r="J9" s="21">
        <f>J2+400</f>
        <v/>
      </c>
      <c r="K9" s="110" t="inlineStr">
        <is>
          <t>/</t>
        </is>
      </c>
      <c r="L9" s="108">
        <f>L2+400</f>
        <v/>
      </c>
      <c r="M9" s="108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310">
        <f>H2</f>
        <v/>
      </c>
      <c r="I10" s="310" t="inlineStr">
        <is>
          <t>/</t>
        </is>
      </c>
      <c r="J10" s="21">
        <f>J2</f>
        <v/>
      </c>
      <c r="K10" s="110" t="inlineStr">
        <is>
          <t>/</t>
        </is>
      </c>
      <c r="L10" s="108">
        <f>L2</f>
        <v/>
      </c>
      <c r="M10" s="108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n"/>
      <c r="G11" s="246" t="inlineStr">
        <is>
          <t>/</t>
        </is>
      </c>
      <c r="H11" s="310">
        <f>H2</f>
        <v/>
      </c>
      <c r="I11" s="310" t="inlineStr">
        <is>
          <t>/</t>
        </is>
      </c>
      <c r="J11" s="21">
        <f>J2</f>
        <v/>
      </c>
      <c r="K11" s="110" t="inlineStr">
        <is>
          <t>/</t>
        </is>
      </c>
      <c r="L11" s="108">
        <f>L2</f>
        <v/>
      </c>
      <c r="M11" s="114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356">
        <f>G3+390+G6+10</f>
        <v/>
      </c>
      <c r="H12" s="357">
        <f>H3+H6+H7+400</f>
        <v/>
      </c>
      <c r="I12" s="310">
        <f>G12-H12</f>
        <v/>
      </c>
      <c r="J12" s="214">
        <f>J3+J6+J7+400</f>
        <v/>
      </c>
      <c r="K12" s="110">
        <f>G12-J12</f>
        <v/>
      </c>
      <c r="L12" s="217">
        <f>L3+L6+L7+400</f>
        <v/>
      </c>
      <c r="M12" s="108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6" t="n"/>
      <c r="G13" s="356">
        <f>G3+G6+30</f>
        <v/>
      </c>
      <c r="H13" s="357">
        <f>H3+H6+H7</f>
        <v/>
      </c>
      <c r="I13" s="310">
        <f>G13-H13</f>
        <v/>
      </c>
      <c r="J13" s="214">
        <f>J3+J6+J7</f>
        <v/>
      </c>
      <c r="K13" s="110">
        <f>G13-J13</f>
        <v/>
      </c>
      <c r="L13" s="217">
        <f>L3+L6+L7</f>
        <v/>
      </c>
      <c r="M13" s="194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58">
        <f>G3+G6</f>
        <v/>
      </c>
      <c r="H14" s="359">
        <f>H3+H6+H7</f>
        <v/>
      </c>
      <c r="I14" s="360">
        <f>G14-H14</f>
        <v/>
      </c>
      <c r="J14" s="218">
        <f>J3+J6+J7</f>
        <v/>
      </c>
      <c r="K14" s="120">
        <f>G14-J14</f>
        <v/>
      </c>
      <c r="L14" s="335">
        <f>L3+L6+L7</f>
        <v/>
      </c>
      <c r="M14" s="124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61" t="inlineStr">
        <is>
          <t>/</t>
        </is>
      </c>
      <c r="H15" s="357" t="n"/>
      <c r="I15" s="310" t="n"/>
      <c r="J15" s="214" t="n"/>
      <c r="K15" s="110" t="n"/>
      <c r="L15" s="217" t="n"/>
      <c r="M15" s="194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362">
        <f>G4+G6+G7+100+50</f>
        <v/>
      </c>
      <c r="H16" s="357">
        <f>H4+H6+H7+150</f>
        <v/>
      </c>
      <c r="I16" s="310">
        <f>G16-H16</f>
        <v/>
      </c>
      <c r="J16" s="214">
        <f>J4+J6+J7+150</f>
        <v/>
      </c>
      <c r="K16" s="110">
        <f>G16-J16</f>
        <v/>
      </c>
      <c r="L16" s="217">
        <f>L3+L5+L6+150</f>
        <v/>
      </c>
      <c r="M16" s="194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362">
        <f>G4+G6+G7+100+50</f>
        <v/>
      </c>
      <c r="H17" s="357">
        <f>H4+H6+H7+150</f>
        <v/>
      </c>
      <c r="I17" s="310">
        <f>G17-H17</f>
        <v/>
      </c>
      <c r="J17" s="214">
        <f>J4+J6+J7+150</f>
        <v/>
      </c>
      <c r="K17" s="110">
        <f>G17-J17</f>
        <v/>
      </c>
      <c r="L17" s="217">
        <f>L3+L5+L6+150</f>
        <v/>
      </c>
      <c r="M17" s="194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362">
        <f>G4+G6+G7+50+10+20</f>
        <v/>
      </c>
      <c r="H18" s="357">
        <f>H4+H6+H7+80</f>
        <v/>
      </c>
      <c r="I18" s="310">
        <f>G18-H18</f>
        <v/>
      </c>
      <c r="J18" s="214">
        <f>J4+J6+J7+80</f>
        <v/>
      </c>
      <c r="K18" s="110">
        <f>G18-J18</f>
        <v/>
      </c>
      <c r="L18" s="217">
        <f>L3+L5+L6+80</f>
        <v/>
      </c>
      <c r="M18" s="194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362">
        <f>G4+G6+G7+50+10+20</f>
        <v/>
      </c>
      <c r="H19" s="357">
        <f>H4+H6+H7+80</f>
        <v/>
      </c>
      <c r="I19" s="310">
        <f>G19-H19</f>
        <v/>
      </c>
      <c r="J19" s="214">
        <f>J4+J6+J7+80</f>
        <v/>
      </c>
      <c r="K19" s="110">
        <f>G19-J19</f>
        <v/>
      </c>
      <c r="L19" s="217">
        <f>L3+L5+L6+80</f>
        <v/>
      </c>
      <c r="M19" s="194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362">
        <f>G4+G6+G7+50</f>
        <v/>
      </c>
      <c r="H20" s="357">
        <f>H4+H6+H7+50</f>
        <v/>
      </c>
      <c r="I20" s="310">
        <f>G20-H20</f>
        <v/>
      </c>
      <c r="J20" s="214">
        <f>J4+J6+J7+50</f>
        <v/>
      </c>
      <c r="K20" s="110">
        <f>G20-J20</f>
        <v/>
      </c>
      <c r="L20" s="217">
        <f>L3+L5+L6+50</f>
        <v/>
      </c>
      <c r="M20" s="194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362">
        <f>G4+G6+G7+50</f>
        <v/>
      </c>
      <c r="H21" s="357">
        <f>H4+H6+H7+50</f>
        <v/>
      </c>
      <c r="I21" s="310">
        <f>G21-H21</f>
        <v/>
      </c>
      <c r="J21" s="214">
        <f>J4+J6+J7+50</f>
        <v/>
      </c>
      <c r="K21" s="110">
        <f>G21-J21</f>
        <v/>
      </c>
      <c r="L21" s="217">
        <f>L3+L5+L6+50</f>
        <v/>
      </c>
      <c r="M21" s="194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363">
        <f>G4+G6+G7</f>
        <v/>
      </c>
      <c r="H22" s="359">
        <f>H4+H6+H7</f>
        <v/>
      </c>
      <c r="I22" s="360">
        <f>G22-H22</f>
        <v/>
      </c>
      <c r="J22" s="218">
        <f>J4+J6+J7</f>
        <v/>
      </c>
      <c r="K22" s="120">
        <f>G22-J22</f>
        <v/>
      </c>
      <c r="L22" s="335">
        <f>L3+L5+L6</f>
        <v/>
      </c>
      <c r="M22" s="124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363">
        <f>G4+G6+G7</f>
        <v/>
      </c>
      <c r="H23" s="359">
        <f>H4+H6+H7</f>
        <v/>
      </c>
      <c r="I23" s="360">
        <f>G23-H23</f>
        <v/>
      </c>
      <c r="J23" s="218">
        <f>J4+J6+J7</f>
        <v/>
      </c>
      <c r="K23" s="120">
        <f>G23-J23</f>
        <v/>
      </c>
      <c r="L23" s="335">
        <f>L3+L5+L6</f>
        <v/>
      </c>
      <c r="M23" s="124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362">
        <f>G4+G6+G7+50</f>
        <v/>
      </c>
      <c r="H24" s="357">
        <f>H4+H6+H7+50</f>
        <v/>
      </c>
      <c r="I24" s="310">
        <f>G24-H24</f>
        <v/>
      </c>
      <c r="J24" s="214">
        <f>J4+J6+J7+50</f>
        <v/>
      </c>
      <c r="K24" s="110">
        <f>G24-J24</f>
        <v/>
      </c>
      <c r="L24" s="217">
        <f>L3+L5+L6+50</f>
        <v/>
      </c>
      <c r="M24" s="194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362">
        <f>G4+G6+G7+50</f>
        <v/>
      </c>
      <c r="H25" s="357">
        <f>H4+H6+H7+50</f>
        <v/>
      </c>
      <c r="I25" s="310">
        <f>G25-H25</f>
        <v/>
      </c>
      <c r="J25" s="214">
        <f>J4+J6+J7+50</f>
        <v/>
      </c>
      <c r="K25" s="110">
        <f>G25-J25</f>
        <v/>
      </c>
      <c r="L25" s="217">
        <f>L3+L5+L6+50</f>
        <v/>
      </c>
      <c r="M25" s="194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364">
        <f>G4+G6+G7+50+30</f>
        <v/>
      </c>
      <c r="H26" s="357">
        <f>H4+H6+H7+50+30</f>
        <v/>
      </c>
      <c r="I26" s="310">
        <f>G26-H26</f>
        <v/>
      </c>
      <c r="J26" s="214">
        <f>J4+J6+J7+50+30</f>
        <v/>
      </c>
      <c r="K26" s="110">
        <f>G26-J26</f>
        <v/>
      </c>
      <c r="L26" s="217" t="n">
        <v>80</v>
      </c>
      <c r="M26" s="194" t="n">
        <v>2.011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364">
        <f>G4+G6+G7+50+30</f>
        <v/>
      </c>
      <c r="H27" s="357">
        <f>H4+H6+H7+50+30</f>
        <v/>
      </c>
      <c r="I27" s="310">
        <f>G27-H27</f>
        <v/>
      </c>
      <c r="J27" s="214">
        <f>J4+J6+J7+50+30</f>
        <v/>
      </c>
      <c r="K27" s="110">
        <f>G27-J27</f>
        <v/>
      </c>
      <c r="L27" s="217" t="n">
        <v>80</v>
      </c>
      <c r="M27" s="194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364">
        <f>G4+G6+G7+70+10</f>
        <v/>
      </c>
      <c r="H28" s="357">
        <f>H4+H6+H7+50+30</f>
        <v/>
      </c>
      <c r="I28" s="310">
        <f>G28-H28</f>
        <v/>
      </c>
      <c r="J28" s="214">
        <f>J4+J6+J7+50+30</f>
        <v/>
      </c>
      <c r="K28" s="110">
        <f>G28-J28</f>
        <v/>
      </c>
      <c r="L28" s="217" t="n">
        <v>80</v>
      </c>
      <c r="M28" s="194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364">
        <f>G4+G6+G7+70+10</f>
        <v/>
      </c>
      <c r="H29" s="357">
        <f>H4+H6+H7+50+30</f>
        <v/>
      </c>
      <c r="I29" s="310">
        <f>G29-H29</f>
        <v/>
      </c>
      <c r="J29" s="214">
        <f>J4+J6+J7+50+30</f>
        <v/>
      </c>
      <c r="K29" s="110">
        <f>G29-J29</f>
        <v/>
      </c>
      <c r="L29" s="217" t="n">
        <v>80</v>
      </c>
      <c r="M29" s="194" t="n">
        <v>2.772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364">
        <f>G4+G6+G7+150</f>
        <v/>
      </c>
      <c r="H30" s="357">
        <f>H4+H6+H7+120+30</f>
        <v/>
      </c>
      <c r="I30" s="310">
        <f>G30-H30</f>
        <v/>
      </c>
      <c r="J30" s="214">
        <f>J4+J6+J7+120</f>
        <v/>
      </c>
      <c r="K30" s="110">
        <f>G30-J30</f>
        <v/>
      </c>
      <c r="L30" s="217" t="n">
        <v>150</v>
      </c>
      <c r="M30" s="194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364">
        <f>G4+G6+G7+120+30</f>
        <v/>
      </c>
      <c r="H31" s="357">
        <f>H4+H6+H7+120+30</f>
        <v/>
      </c>
      <c r="I31" s="310">
        <f>G31-H31</f>
        <v/>
      </c>
      <c r="J31" s="214">
        <f>J4+J6+J7+120</f>
        <v/>
      </c>
      <c r="K31" s="110">
        <f>G31-J31</f>
        <v/>
      </c>
      <c r="L31" s="217" t="n">
        <v>150</v>
      </c>
      <c r="M31" s="194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364">
        <f>G4+G6+G7+120+30</f>
        <v/>
      </c>
      <c r="H32" s="357">
        <f>H4+H6+H7+120+30</f>
        <v/>
      </c>
      <c r="I32" s="310">
        <f>G32-H32</f>
        <v/>
      </c>
      <c r="J32" s="214">
        <f>J4+J6+J7+120</f>
        <v/>
      </c>
      <c r="K32" s="110">
        <f>G32-J32</f>
        <v/>
      </c>
      <c r="L32" s="217" t="n">
        <v>150</v>
      </c>
      <c r="M32" s="194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364">
        <f>G4+G6+G7+120+30</f>
        <v/>
      </c>
      <c r="H33" s="357">
        <f>H4+H6+H7+120+30</f>
        <v/>
      </c>
      <c r="I33" s="310">
        <f>G33-H33</f>
        <v/>
      </c>
      <c r="J33" s="214">
        <f>J4+J6+J7+120</f>
        <v/>
      </c>
      <c r="K33" s="110">
        <f>G33-J33</f>
        <v/>
      </c>
      <c r="L33" s="217" t="n">
        <v>150</v>
      </c>
      <c r="M33" s="194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65" t="inlineStr">
        <is>
          <t>备注</t>
        </is>
      </c>
      <c r="G34" s="366" t="n"/>
      <c r="H34" s="366" t="n"/>
      <c r="I34" s="366" t="n"/>
      <c r="J34" s="223" t="n"/>
      <c r="K34" s="224" t="n"/>
      <c r="L34" s="367" t="n"/>
      <c r="M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226" t="n"/>
      <c r="K35" s="226" t="n"/>
      <c r="L35" s="368" t="n"/>
      <c r="M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  <c r="J36" s="226" t="n"/>
      <c r="K36" s="226" t="n"/>
      <c r="L36" s="369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  <c r="J37" s="226" t="n"/>
      <c r="K37" s="226" t="n"/>
      <c r="L37" s="369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  <c r="J38" s="226" t="n"/>
      <c r="K38" s="226" t="n"/>
      <c r="L38" s="369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  <c r="J39" s="226" t="n"/>
      <c r="K39" s="226" t="n"/>
      <c r="L39" s="369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  <c r="J40" s="226" t="n"/>
      <c r="K40" s="226" t="n"/>
      <c r="L40" s="369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  <c r="J41" s="226" t="n"/>
      <c r="K41" s="226" t="n"/>
      <c r="L41" s="369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  <c r="J42" s="226" t="n"/>
      <c r="K42" s="226" t="n"/>
      <c r="L42" s="369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  <c r="J43" s="226" t="n"/>
      <c r="K43" s="226" t="n"/>
      <c r="L43" s="369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  <c r="J44" s="226" t="n"/>
      <c r="K44" s="226" t="n"/>
      <c r="L44" s="369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  <c r="J45" s="226" t="n"/>
      <c r="K45" s="226" t="n"/>
      <c r="L45" s="369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  <c r="J46" s="226" t="n"/>
      <c r="K46" s="226" t="n"/>
      <c r="L46" s="369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  <c r="J47" s="226" t="n"/>
      <c r="K47" s="226" t="n"/>
      <c r="L47" s="369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  <c r="J48" s="226" t="n"/>
      <c r="K48" s="226" t="n"/>
      <c r="L48" s="369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  <c r="J49" s="226" t="n"/>
      <c r="K49" s="226" t="n"/>
      <c r="L49" s="369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  <c r="J50" s="226" t="n"/>
      <c r="K50" s="226" t="n"/>
      <c r="L50" s="369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  <c r="J51" s="226" t="n"/>
      <c r="K51" s="226" t="n"/>
      <c r="L51" s="369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  <c r="J52" s="226" t="n"/>
      <c r="K52" s="226" t="n"/>
      <c r="L52" s="369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  <c r="J53" s="226" t="n"/>
      <c r="K53" s="226" t="n"/>
      <c r="L53" s="369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  <c r="J54" s="226" t="n"/>
      <c r="K54" s="226" t="n"/>
      <c r="L54" s="369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  <c r="J55" s="226" t="n"/>
      <c r="K55" s="226" t="n"/>
      <c r="L55" s="369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  <c r="J56" s="226" t="n"/>
      <c r="K56" s="226" t="n"/>
      <c r="L56" s="369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  <c r="J57" s="226" t="n"/>
      <c r="K57" s="226" t="n"/>
      <c r="L57" s="369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  <c r="J58" s="226" t="n"/>
      <c r="K58" s="226" t="n"/>
      <c r="L58" s="369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  <c r="J59" s="226" t="n"/>
      <c r="K59" s="226" t="n"/>
      <c r="L59" s="369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  <c r="J60" s="226" t="n"/>
      <c r="K60" s="226" t="n"/>
      <c r="L60" s="369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  <c r="J61" s="226" t="n"/>
      <c r="K61" s="226" t="n"/>
      <c r="L61" s="369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  <c r="J62" s="226" t="n"/>
      <c r="K62" s="226" t="n"/>
      <c r="L62" s="369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  <c r="J63" s="226" t="n"/>
      <c r="K63" s="226" t="n"/>
      <c r="L63" s="369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  <c r="J64" s="226" t="n"/>
      <c r="K64" s="226" t="n"/>
      <c r="L64" s="369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  <c r="J65" s="226" t="n"/>
      <c r="K65" s="226" t="n"/>
      <c r="L65" s="369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  <c r="J66" s="226" t="n"/>
      <c r="K66" s="226" t="n"/>
      <c r="L66" s="369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  <c r="J67" s="226" t="n"/>
      <c r="K67" s="226" t="n"/>
      <c r="L67" s="369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  <c r="J68" s="226" t="n"/>
      <c r="K68" s="226" t="n"/>
      <c r="L68" s="369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  <c r="J69" s="226" t="n"/>
      <c r="K69" s="226" t="n"/>
      <c r="L69" s="369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  <c r="J70" s="226" t="n"/>
      <c r="K70" s="226" t="n"/>
      <c r="L70" s="369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  <c r="J71" s="226" t="n"/>
      <c r="K71" s="226" t="n"/>
      <c r="L71" s="369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  <c r="J72" s="226" t="n"/>
      <c r="K72" s="226" t="n"/>
      <c r="L72" s="369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  <c r="J73" s="226" t="n"/>
      <c r="K73" s="226" t="n"/>
      <c r="L73" s="369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  <c r="J74" s="226" t="n"/>
      <c r="K74" s="226" t="n"/>
      <c r="L74" s="369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  <c r="J75" s="226" t="n"/>
      <c r="K75" s="226" t="n"/>
      <c r="L75" s="369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  <c r="J76" s="226" t="n"/>
      <c r="K76" s="226" t="n"/>
      <c r="L76" s="369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  <c r="J77" s="226" t="n"/>
      <c r="K77" s="226" t="n"/>
      <c r="L77" s="369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  <c r="J78" s="226" t="n"/>
      <c r="K78" s="226" t="n"/>
      <c r="L78" s="369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  <c r="J79" s="226" t="n"/>
      <c r="K79" s="226" t="n"/>
      <c r="L79" s="369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  <c r="J80" s="226" t="n"/>
      <c r="K80" s="226" t="n"/>
      <c r="L80" s="369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  <c r="J81" s="226" t="n"/>
      <c r="K81" s="226" t="n"/>
      <c r="L81" s="369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  <c r="J82" s="226" t="n"/>
      <c r="K82" s="226" t="n"/>
      <c r="L82" s="369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  <c r="J83" s="226" t="n"/>
      <c r="K83" s="226" t="n"/>
      <c r="L83" s="369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  <c r="J84" s="226" t="n"/>
      <c r="K84" s="226" t="n"/>
      <c r="L84" s="369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  <c r="J85" s="226" t="n"/>
      <c r="K85" s="226" t="n"/>
      <c r="L85" s="369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  <c r="J86" s="226" t="n"/>
      <c r="K86" s="226" t="n"/>
      <c r="L86" s="369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  <c r="J87" s="226" t="n"/>
      <c r="K87" s="226" t="n"/>
      <c r="L87" s="369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  <c r="J88" s="226" t="n"/>
      <c r="K88" s="226" t="n"/>
      <c r="L88" s="369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  <c r="J89" s="226" t="n"/>
      <c r="K89" s="226" t="n"/>
      <c r="L89" s="369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  <c r="J90" s="226" t="n"/>
      <c r="K90" s="226" t="n"/>
      <c r="L90" s="369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  <c r="J91" s="226" t="n"/>
      <c r="K91" s="226" t="n"/>
      <c r="L91" s="369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  <c r="J92" s="226" t="n"/>
      <c r="K92" s="226" t="n"/>
      <c r="L92" s="369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  <c r="J93" s="226" t="n"/>
      <c r="K93" s="226" t="n"/>
      <c r="L93" s="369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  <c r="J94" s="226" t="n"/>
      <c r="K94" s="226" t="n"/>
      <c r="L94" s="369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  <c r="J95" s="226" t="n"/>
      <c r="K95" s="226" t="n"/>
      <c r="L95" s="369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  <c r="J96" s="226" t="n"/>
      <c r="K96" s="226" t="n"/>
      <c r="L96" s="369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  <c r="J97" s="226" t="n"/>
      <c r="K97" s="226" t="n"/>
      <c r="L97" s="369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  <c r="J98" s="226" t="n"/>
      <c r="K98" s="226" t="n"/>
      <c r="L98" s="369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  <c r="J99" s="226" t="n"/>
      <c r="K99" s="226" t="n"/>
      <c r="L99" s="369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  <c r="J100" s="226" t="n"/>
      <c r="K100" s="226" t="n"/>
      <c r="L100" s="369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  <c r="J101" s="226" t="n"/>
      <c r="K101" s="226" t="n"/>
      <c r="L101" s="369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  <c r="J102" s="226" t="n"/>
      <c r="K102" s="226" t="n"/>
      <c r="L102" s="369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  <c r="J103" s="226" t="n"/>
      <c r="K103" s="226" t="n"/>
      <c r="L103" s="369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  <c r="J104" s="226" t="n"/>
      <c r="K104" s="226" t="n"/>
      <c r="L104" s="369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  <c r="J105" s="226" t="n"/>
      <c r="K105" s="226" t="n"/>
      <c r="L105" s="369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  <c r="J106" s="226" t="n"/>
      <c r="K106" s="226" t="n"/>
      <c r="L106" s="369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  <c r="J107" s="226" t="n"/>
      <c r="K107" s="226" t="n"/>
      <c r="L107" s="369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  <c r="J108" s="226" t="n"/>
      <c r="K108" s="226" t="n"/>
      <c r="L108" s="369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  <c r="J109" s="226" t="n"/>
      <c r="K109" s="226" t="n"/>
      <c r="L109" s="369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  <c r="J110" s="226" t="n"/>
      <c r="K110" s="226" t="n"/>
      <c r="L110" s="369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  <c r="J111" s="226" t="n"/>
      <c r="K111" s="226" t="n"/>
      <c r="L111" s="369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  <c r="J112" s="226" t="n"/>
      <c r="K112" s="226" t="n"/>
      <c r="L112" s="369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  <c r="J113" s="226" t="n"/>
      <c r="K113" s="226" t="n"/>
      <c r="L113" s="369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  <c r="J114" s="226" t="n"/>
      <c r="K114" s="226" t="n"/>
      <c r="L114" s="369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  <c r="J115" s="226" t="n"/>
      <c r="K115" s="226" t="n"/>
      <c r="L115" s="369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  <c r="J116" s="226" t="n"/>
      <c r="K116" s="226" t="n"/>
      <c r="L116" s="369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  <c r="J117" s="226" t="n"/>
      <c r="K117" s="226" t="n"/>
      <c r="L117" s="369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  <c r="J118" s="226" t="n"/>
      <c r="K118" s="226" t="n"/>
      <c r="L118" s="369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  <c r="J119" s="226" t="n"/>
      <c r="K119" s="226" t="n"/>
      <c r="L119" s="369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  <c r="J120" s="226" t="n"/>
      <c r="K120" s="226" t="n"/>
      <c r="L120" s="369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  <c r="J121" s="226" t="n"/>
      <c r="K121" s="226" t="n"/>
      <c r="L121" s="369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  <c r="J122" s="226" t="n"/>
      <c r="K122" s="226" t="n"/>
      <c r="L122" s="369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  <c r="J123" s="226" t="n"/>
      <c r="K123" s="226" t="n"/>
      <c r="L123" s="369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  <c r="J124" s="226" t="n"/>
      <c r="K124" s="226" t="n"/>
      <c r="L124" s="369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  <c r="J125" s="226" t="n"/>
      <c r="K125" s="226" t="n"/>
      <c r="L125" s="369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  <c r="J126" s="226" t="n"/>
      <c r="K126" s="226" t="n"/>
      <c r="L126" s="369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  <c r="J127" s="226" t="n"/>
      <c r="K127" s="226" t="n"/>
      <c r="L127" s="369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  <c r="J128" s="226" t="n"/>
      <c r="K128" s="226" t="n"/>
      <c r="L128" s="369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  <c r="J129" s="226" t="n"/>
      <c r="K129" s="226" t="n"/>
      <c r="L129" s="369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  <c r="J130" s="226" t="n"/>
      <c r="K130" s="226" t="n"/>
      <c r="L130" s="369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  <c r="J131" s="226" t="n"/>
      <c r="K131" s="226" t="n"/>
      <c r="L131" s="369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  <c r="J132" s="226" t="n"/>
      <c r="K132" s="226" t="n"/>
      <c r="L132" s="369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  <c r="J133" s="226" t="n"/>
      <c r="K133" s="226" t="n"/>
      <c r="L133" s="369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  <c r="J134" s="226" t="n"/>
      <c r="K134" s="226" t="n"/>
      <c r="L134" s="369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  <c r="J135" s="226" t="n"/>
      <c r="K135" s="226" t="n"/>
      <c r="L135" s="369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  <c r="J136" s="226" t="n"/>
      <c r="K136" s="226" t="n"/>
      <c r="L136" s="369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  <c r="J137" s="226" t="n"/>
      <c r="K137" s="226" t="n"/>
      <c r="L137" s="369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  <c r="J138" s="226" t="n"/>
      <c r="K138" s="226" t="n"/>
      <c r="L138" s="369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  <c r="J139" s="226" t="n"/>
      <c r="K139" s="226" t="n"/>
      <c r="L139" s="369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  <c r="J140" s="226" t="n"/>
      <c r="K140" s="226" t="n"/>
      <c r="L140" s="369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  <c r="J141" s="226" t="n"/>
      <c r="K141" s="226" t="n"/>
      <c r="L141" s="369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  <c r="J142" s="226" t="n"/>
      <c r="K142" s="226" t="n"/>
      <c r="L142" s="369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  <c r="J143" s="226" t="n"/>
      <c r="K143" s="226" t="n"/>
      <c r="L143" s="369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  <c r="J144" s="226" t="n"/>
      <c r="K144" s="226" t="n"/>
      <c r="L144" s="369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  <c r="J145" s="226" t="n"/>
      <c r="K145" s="226" t="n"/>
      <c r="L145" s="369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  <c r="J146" s="226" t="n"/>
      <c r="K146" s="226" t="n"/>
      <c r="L146" s="369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  <c r="J147" s="226" t="n"/>
      <c r="K147" s="226" t="n"/>
      <c r="L147" s="369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  <c r="J148" s="226" t="n"/>
      <c r="K148" s="226" t="n"/>
      <c r="L148" s="369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  <c r="J149" s="226" t="n"/>
      <c r="K149" s="226" t="n"/>
      <c r="L149" s="369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  <c r="J150" s="226" t="n"/>
      <c r="K150" s="226" t="n"/>
      <c r="L150" s="369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  <c r="J151" s="226" t="n"/>
      <c r="K151" s="226" t="n"/>
      <c r="L151" s="369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  <c r="J152" s="226" t="n"/>
      <c r="K152" s="226" t="n"/>
      <c r="L152" s="369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  <c r="J153" s="226" t="n"/>
      <c r="K153" s="226" t="n"/>
      <c r="L153" s="369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  <c r="J154" s="226" t="n"/>
      <c r="K154" s="226" t="n"/>
      <c r="L154" s="369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  <c r="J155" s="226" t="n"/>
      <c r="K155" s="226" t="n"/>
      <c r="L155" s="369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  <c r="J156" s="226" t="n"/>
      <c r="K156" s="226" t="n"/>
      <c r="L156" s="369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  <c r="J157" s="226" t="n"/>
      <c r="K157" s="226" t="n"/>
      <c r="L157" s="369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  <c r="J158" s="226" t="n"/>
      <c r="K158" s="226" t="n"/>
      <c r="L158" s="369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  <c r="J159" s="226" t="n"/>
      <c r="K159" s="226" t="n"/>
      <c r="L159" s="369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  <c r="J160" s="226" t="n"/>
      <c r="K160" s="226" t="n"/>
      <c r="L160" s="369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  <c r="J161" s="226" t="n"/>
      <c r="K161" s="226" t="n"/>
      <c r="L161" s="369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  <c r="J162" s="226" t="n"/>
      <c r="K162" s="226" t="n"/>
      <c r="L162" s="369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  <c r="J163" s="226" t="n"/>
      <c r="K163" s="226" t="n"/>
      <c r="L163" s="369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  <c r="J164" s="226" t="n"/>
      <c r="K164" s="226" t="n"/>
      <c r="L164" s="369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  <c r="J165" s="226" t="n"/>
      <c r="K165" s="226" t="n"/>
      <c r="L165" s="369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  <c r="J166" s="226" t="n"/>
      <c r="K166" s="226" t="n"/>
      <c r="L166" s="369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  <c r="J167" s="226" t="n"/>
      <c r="K167" s="226" t="n"/>
      <c r="L167" s="369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  <c r="J168" s="226" t="n"/>
      <c r="K168" s="226" t="n"/>
      <c r="L168" s="369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  <c r="J169" s="226" t="n"/>
      <c r="K169" s="226" t="n"/>
      <c r="L169" s="369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  <c r="J170" s="226" t="n"/>
      <c r="K170" s="226" t="n"/>
      <c r="L170" s="369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  <c r="J171" s="226" t="n"/>
      <c r="K171" s="226" t="n"/>
      <c r="L171" s="369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  <c r="J172" s="226" t="n"/>
      <c r="K172" s="226" t="n"/>
      <c r="L172" s="369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  <c r="J173" s="226" t="n"/>
      <c r="K173" s="226" t="n"/>
      <c r="L173" s="369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  <c r="J174" s="226" t="n"/>
      <c r="K174" s="226" t="n"/>
      <c r="L174" s="369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  <c r="J175" s="226" t="n"/>
      <c r="K175" s="226" t="n"/>
      <c r="L175" s="369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  <c r="J176" s="226" t="n"/>
      <c r="K176" s="226" t="n"/>
      <c r="L176" s="369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  <c r="J177" s="226" t="n"/>
      <c r="K177" s="226" t="n"/>
      <c r="L177" s="369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  <c r="J178" s="226" t="n"/>
      <c r="K178" s="226" t="n"/>
      <c r="L178" s="369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  <c r="J179" s="226" t="n"/>
      <c r="K179" s="226" t="n"/>
      <c r="L179" s="369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  <c r="J180" s="226" t="n"/>
      <c r="K180" s="226" t="n"/>
      <c r="L180" s="369" t="n"/>
    </row>
    <row r="181">
      <c r="G181" s="419" t="n"/>
      <c r="H181" s="419" t="n"/>
      <c r="I181" s="419" t="n"/>
      <c r="J181" s="419" t="n"/>
      <c r="K181" s="419" t="n"/>
      <c r="L181" s="162" t="n"/>
    </row>
    <row r="182">
      <c r="G182" s="419" t="n"/>
      <c r="H182" s="419" t="n"/>
      <c r="I182" s="419" t="n"/>
      <c r="J182" s="419" t="n"/>
      <c r="K182" s="419" t="n"/>
      <c r="L182" s="162" t="n"/>
    </row>
    <row r="183">
      <c r="G183" s="419" t="n"/>
      <c r="H183" s="419" t="n"/>
      <c r="I183" s="419" t="n"/>
      <c r="J183" s="419" t="n"/>
      <c r="K183" s="419" t="n"/>
      <c r="L183" s="162" t="n"/>
    </row>
    <row r="184">
      <c r="G184" s="419" t="n"/>
      <c r="H184" s="419" t="n"/>
      <c r="I184" s="419" t="n"/>
      <c r="J184" s="419" t="n"/>
      <c r="K184" s="419" t="n"/>
      <c r="L184" s="162" t="n"/>
    </row>
    <row r="185">
      <c r="G185" s="419" t="n"/>
      <c r="H185" s="419" t="n"/>
      <c r="I185" s="419" t="n"/>
      <c r="J185" s="419" t="n"/>
      <c r="K185" s="419" t="n"/>
      <c r="L185" s="162" t="n"/>
    </row>
    <row r="186">
      <c r="G186" s="419" t="n"/>
      <c r="H186" s="419" t="n"/>
      <c r="I186" s="419" t="n"/>
      <c r="J186" s="419" t="n"/>
      <c r="K186" s="419" t="n"/>
      <c r="L186" s="162" t="n"/>
    </row>
    <row r="187">
      <c r="G187" s="419" t="n"/>
      <c r="H187" s="419" t="n"/>
      <c r="I187" s="419" t="n"/>
      <c r="J187" s="419" t="n"/>
      <c r="K187" s="419" t="n"/>
      <c r="L187" s="162" t="n"/>
    </row>
    <row r="188">
      <c r="G188" s="419" t="n"/>
      <c r="H188" s="419" t="n"/>
      <c r="I188" s="419" t="n"/>
      <c r="J188" s="419" t="n"/>
      <c r="K188" s="419" t="n"/>
      <c r="L188" s="162" t="n"/>
    </row>
    <row r="189">
      <c r="G189" s="419" t="n"/>
      <c r="H189" s="419" t="n"/>
      <c r="I189" s="419" t="n"/>
      <c r="J189" s="419" t="n"/>
      <c r="K189" s="419" t="n"/>
      <c r="L189" s="162" t="n"/>
    </row>
    <row r="190">
      <c r="G190" s="419" t="n"/>
      <c r="H190" s="419" t="n"/>
      <c r="I190" s="419" t="n"/>
      <c r="J190" s="419" t="n"/>
      <c r="K190" s="419" t="n"/>
      <c r="L190" s="162" t="n"/>
    </row>
    <row r="191">
      <c r="G191" s="419" t="n"/>
      <c r="H191" s="419" t="n"/>
      <c r="I191" s="419" t="n"/>
      <c r="J191" s="419" t="n"/>
      <c r="K191" s="419" t="n"/>
      <c r="L191" s="162" t="n"/>
    </row>
    <row r="192">
      <c r="G192" s="419" t="n"/>
      <c r="H192" s="419" t="n"/>
      <c r="I192" s="419" t="n"/>
      <c r="J192" s="419" t="n"/>
      <c r="K192" s="419" t="n"/>
      <c r="L192" s="162" t="n"/>
    </row>
    <row r="193">
      <c r="G193" s="419" t="n"/>
      <c r="H193" s="419" t="n"/>
      <c r="I193" s="419" t="n"/>
      <c r="J193" s="419" t="n"/>
      <c r="K193" s="419" t="n"/>
      <c r="L193" s="162" t="n"/>
    </row>
    <row r="194">
      <c r="G194" s="419" t="n"/>
      <c r="H194" s="419" t="n"/>
      <c r="I194" s="419" t="n"/>
      <c r="J194" s="419" t="n"/>
      <c r="K194" s="419" t="n"/>
      <c r="L194" s="162" t="n"/>
    </row>
    <row r="195">
      <c r="G195" s="419" t="n"/>
      <c r="H195" s="419" t="n"/>
      <c r="I195" s="419" t="n"/>
      <c r="J195" s="419" t="n"/>
      <c r="K195" s="419" t="n"/>
      <c r="L195" s="162" t="n"/>
    </row>
    <row r="196">
      <c r="G196" s="419" t="n"/>
      <c r="H196" s="419" t="n"/>
      <c r="I196" s="419" t="n"/>
      <c r="J196" s="419" t="n"/>
      <c r="K196" s="419" t="n"/>
      <c r="L196" s="162" t="n"/>
    </row>
    <row r="197">
      <c r="G197" s="419" t="n"/>
      <c r="H197" s="419" t="n"/>
      <c r="I197" s="419" t="n"/>
      <c r="J197" s="419" t="n"/>
      <c r="K197" s="419" t="n"/>
      <c r="L197" s="162" t="n"/>
    </row>
    <row r="198">
      <c r="G198" s="419" t="n"/>
      <c r="H198" s="419" t="n"/>
      <c r="I198" s="419" t="n"/>
      <c r="J198" s="419" t="n"/>
      <c r="K198" s="419" t="n"/>
      <c r="L198" s="162" t="n"/>
    </row>
    <row r="199">
      <c r="G199" s="419" t="n"/>
      <c r="H199" s="419" t="n"/>
      <c r="I199" s="419" t="n"/>
      <c r="J199" s="419" t="n"/>
      <c r="K199" s="419" t="n"/>
      <c r="L199" s="162" t="n"/>
    </row>
    <row r="200">
      <c r="G200" s="419" t="n"/>
      <c r="H200" s="419" t="n"/>
      <c r="I200" s="419" t="n"/>
      <c r="J200" s="419" t="n"/>
      <c r="K200" s="419" t="n"/>
      <c r="L200" s="162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ColWidth="9" defaultRowHeight="13.5"/>
  <cols>
    <col width="11.25" customWidth="1" style="527" min="1" max="1"/>
    <col width="5.5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5" min="6" max="6"/>
    <col width="13.75" customWidth="1" style="228" min="7" max="7"/>
    <col width="13.375" customWidth="1" style="526" min="8" max="9"/>
    <col hidden="1" width="9" customWidth="1" style="527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7" t="inlineStr">
        <is>
          <t>网价[2026-04-29]</t>
        </is>
      </c>
      <c r="H1" s="338" t="inlineStr">
        <is>
          <t>报价[2026-04-21]</t>
        </is>
      </c>
      <c r="I1" s="530" t="n"/>
      <c r="J1" s="339" t="n"/>
      <c r="K1" s="276" t="n"/>
      <c r="L1" s="340" t="n"/>
    </row>
    <row r="2" ht="14.25" customHeight="1" s="527">
      <c r="A2" s="11" t="inlineStr">
        <is>
          <t>钢材询价表（贵航）</t>
        </is>
      </c>
      <c r="F2" s="205" t="inlineStr">
        <is>
          <t>高线10基价</t>
        </is>
      </c>
      <c r="G2" s="317" t="inlineStr">
        <is>
          <t>/</t>
        </is>
      </c>
      <c r="H2" s="310" t="n"/>
      <c r="I2" s="310" t="n"/>
      <c r="J2" s="339" t="n"/>
      <c r="K2" s="276" t="n"/>
      <c r="L2" s="340" t="n"/>
    </row>
    <row r="3" ht="14.25" customHeight="1" s="527">
      <c r="F3" s="205" t="inlineStr">
        <is>
          <t>盘螺10基价</t>
        </is>
      </c>
      <c r="G3" s="309" t="n">
        <v>3560</v>
      </c>
      <c r="H3" s="310" t="n">
        <v>3415</v>
      </c>
      <c r="I3" s="310" t="n"/>
      <c r="J3" s="339" t="n"/>
      <c r="K3" s="276" t="n"/>
      <c r="L3" s="340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309" t="n">
        <v>3360</v>
      </c>
      <c r="H4" s="310" t="n">
        <v>3195</v>
      </c>
      <c r="I4" s="310" t="n"/>
      <c r="J4" s="339" t="n"/>
      <c r="K4" s="276" t="n"/>
      <c r="L4" s="340" t="n"/>
    </row>
    <row r="5" ht="14.25" customHeight="1" s="527">
      <c r="E5" s="533" t="n"/>
      <c r="F5" s="210" t="inlineStr">
        <is>
          <t>不开票运费</t>
        </is>
      </c>
      <c r="G5" s="313" t="n"/>
      <c r="H5" s="310" t="n"/>
      <c r="I5" s="310" t="n"/>
      <c r="J5" s="339" t="n"/>
      <c r="K5" s="276" t="n"/>
      <c r="L5" s="340" t="n"/>
    </row>
    <row r="6" ht="14.25" customHeight="1" s="527">
      <c r="E6" s="533" t="n"/>
      <c r="F6" s="210" t="inlineStr">
        <is>
          <t>一票制运费</t>
        </is>
      </c>
      <c r="G6" s="193" t="n">
        <v>0</v>
      </c>
      <c r="H6" s="310" t="n"/>
      <c r="I6" s="310" t="n"/>
      <c r="J6" s="341" t="n"/>
      <c r="K6" s="276" t="n"/>
      <c r="L6" s="340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0" t="n"/>
      <c r="I7" s="310" t="n"/>
      <c r="J7" s="339" t="n"/>
      <c r="K7" s="276" t="n"/>
      <c r="L7" s="34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196" t="inlineStr">
        <is>
          <t>合肥市场网价</t>
        </is>
      </c>
      <c r="H8" s="310" t="inlineStr">
        <is>
          <t>航鑫</t>
        </is>
      </c>
      <c r="I8" s="310" t="inlineStr">
        <is>
          <t>网差</t>
        </is>
      </c>
      <c r="J8" s="339" t="inlineStr">
        <is>
          <t>件重</t>
        </is>
      </c>
      <c r="K8" s="9" t="inlineStr">
        <is>
          <t>正常级差</t>
        </is>
      </c>
      <c r="L8" s="340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21" t="inlineStr">
        <is>
          <t>/</t>
        </is>
      </c>
      <c r="J9" s="339" t="n"/>
      <c r="K9" s="276" t="n"/>
      <c r="L9" s="34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21" t="inlineStr">
        <is>
          <t>/</t>
        </is>
      </c>
      <c r="J10" s="339" t="n"/>
      <c r="K10" s="276" t="n"/>
      <c r="L10" s="34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21" t="inlineStr">
        <is>
          <t>/</t>
        </is>
      </c>
      <c r="J11" s="339" t="n"/>
      <c r="K11" s="276" t="n"/>
      <c r="L11" s="34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216">
        <f>G3+240+G6-20</f>
        <v/>
      </c>
      <c r="H12" s="21">
        <f>H3+H6+H7+220</f>
        <v/>
      </c>
      <c r="I12" s="21">
        <f>G12-H12</f>
        <v/>
      </c>
      <c r="J12" s="339" t="n"/>
      <c r="K12" s="108" t="n">
        <v>220</v>
      </c>
      <c r="L12" s="34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216">
        <f>G3+G6</f>
        <v/>
      </c>
      <c r="H13" s="21">
        <f>H3+H6+H7</f>
        <v/>
      </c>
      <c r="I13" s="21">
        <f>G13-H13</f>
        <v/>
      </c>
      <c r="J13" s="339" t="n"/>
      <c r="K13" s="108">
        <f>K3+K6+K7</f>
        <v/>
      </c>
      <c r="L13" s="34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219">
        <f>G3+G6</f>
        <v/>
      </c>
      <c r="H14" s="119">
        <f>H3+H6+H7</f>
        <v/>
      </c>
      <c r="I14" s="119">
        <f>G14-H14</f>
        <v/>
      </c>
      <c r="J14" s="339" t="n"/>
      <c r="K14" s="114">
        <f>K3+K6+K7</f>
        <v/>
      </c>
      <c r="L14" s="340" t="n"/>
    </row>
    <row r="15" ht="16.5" customHeight="1" s="527">
      <c r="A15" s="538" t="n"/>
      <c r="B15" s="30" t="n">
        <v>10</v>
      </c>
      <c r="C15" s="30" t="n"/>
      <c r="D15" s="30" t="inlineStr">
        <is>
          <t>HRB400E</t>
        </is>
      </c>
      <c r="E15" s="342" t="n">
        <v>16</v>
      </c>
      <c r="F15" s="214" t="n"/>
      <c r="G15" s="216">
        <f>G4+70+70</f>
        <v/>
      </c>
      <c r="H15" s="214">
        <f>H4+H6+120</f>
        <v/>
      </c>
      <c r="I15" s="21">
        <f>G15-H15</f>
        <v/>
      </c>
      <c r="J15" s="513" t="n"/>
      <c r="K15" s="217" t="n">
        <v>120</v>
      </c>
      <c r="L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G4+G6+G7+70</f>
        <v/>
      </c>
      <c r="H16" s="214">
        <f>H4+H6+H7+50+10</f>
        <v/>
      </c>
      <c r="I16" s="21">
        <f>G16-H16</f>
        <v/>
      </c>
      <c r="J16" s="513" t="n">
        <v>1.998</v>
      </c>
      <c r="K16" s="217" t="n">
        <v>60</v>
      </c>
      <c r="L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G4+G6+G7+70</f>
        <v/>
      </c>
      <c r="H17" s="214">
        <f>H4+H6+H7+50+10</f>
        <v/>
      </c>
      <c r="I17" s="21">
        <f>G17-H17</f>
        <v/>
      </c>
      <c r="J17" s="513" t="n">
        <v>2.025</v>
      </c>
      <c r="K17" s="217" t="n">
        <v>60</v>
      </c>
      <c r="L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G4+G6+G7+50</f>
        <v/>
      </c>
      <c r="H18" s="214">
        <f>H4+H6+H7+40+10</f>
        <v/>
      </c>
      <c r="I18" s="21">
        <f>G18-H18</f>
        <v/>
      </c>
      <c r="J18" s="513" t="n">
        <v>1.96</v>
      </c>
      <c r="K18" s="217">
        <f>K3+K5+K6+50</f>
        <v/>
      </c>
      <c r="L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G4+G6+G7+50</f>
        <v/>
      </c>
      <c r="H19" s="214">
        <f>H4+H6+H7+40+10</f>
        <v/>
      </c>
      <c r="I19" s="21">
        <f>G19-H19</f>
        <v/>
      </c>
      <c r="J19" s="513" t="n">
        <v>1.96</v>
      </c>
      <c r="K19" s="217">
        <f>K3+K5+K6+50</f>
        <v/>
      </c>
      <c r="L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G4+G6+G7+50</f>
        <v/>
      </c>
      <c r="H20" s="214">
        <f>H4+H6+H7+50</f>
        <v/>
      </c>
      <c r="I20" s="21">
        <f>G20-H20</f>
        <v/>
      </c>
      <c r="J20" s="513" t="n">
        <v>1.991</v>
      </c>
      <c r="K20" s="217">
        <f>K3+K5+K6+50</f>
        <v/>
      </c>
      <c r="L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G4+G6+G7+50</f>
        <v/>
      </c>
      <c r="H21" s="214">
        <f>H4+H6+H7+50</f>
        <v/>
      </c>
      <c r="I21" s="21">
        <f>G21-H21</f>
        <v/>
      </c>
      <c r="J21" s="513" t="n">
        <v>1.991</v>
      </c>
      <c r="K21" s="217">
        <f>K3+K5+K6+50</f>
        <v/>
      </c>
      <c r="L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9" t="inlineStr">
        <is>
          <t>/</t>
        </is>
      </c>
      <c r="I22" s="21" t="inlineStr">
        <is>
          <t>/</t>
        </is>
      </c>
      <c r="J22" s="513" t="n">
        <v>1.98</v>
      </c>
      <c r="K22" s="276" t="n"/>
      <c r="L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9" t="inlineStr">
        <is>
          <t>/</t>
        </is>
      </c>
      <c r="I23" s="21" t="inlineStr">
        <is>
          <t>/</t>
        </is>
      </c>
      <c r="J23" s="513" t="n">
        <v>2.04</v>
      </c>
      <c r="K23" s="276" t="n"/>
      <c r="L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G4+G6+G7+50</f>
        <v/>
      </c>
      <c r="H24" s="21" t="inlineStr">
        <is>
          <t>/</t>
        </is>
      </c>
      <c r="I24" s="21" t="inlineStr">
        <is>
          <t>/</t>
        </is>
      </c>
      <c r="J24" s="513" t="n">
        <v>2.001</v>
      </c>
      <c r="K24" s="276" t="n"/>
      <c r="L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G4+G6+G7+50</f>
        <v/>
      </c>
      <c r="H25" s="21" t="inlineStr">
        <is>
          <t>/</t>
        </is>
      </c>
      <c r="I25" s="21" t="inlineStr">
        <is>
          <t>/</t>
        </is>
      </c>
      <c r="J25" s="513" t="n">
        <v>2.075</v>
      </c>
      <c r="K25" s="276" t="n"/>
      <c r="L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G4+G6+G7+50</f>
        <v/>
      </c>
      <c r="H26" s="21" t="inlineStr">
        <is>
          <t>/</t>
        </is>
      </c>
      <c r="I26" s="21" t="inlineStr">
        <is>
          <t>/</t>
        </is>
      </c>
      <c r="J26" s="513" t="n">
        <v>2.012</v>
      </c>
      <c r="K26" s="276" t="n"/>
      <c r="L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G4+G6+G7+50</f>
        <v/>
      </c>
      <c r="H27" s="21" t="inlineStr">
        <is>
          <t>/</t>
        </is>
      </c>
      <c r="I27" s="21" t="inlineStr">
        <is>
          <t>/</t>
        </is>
      </c>
      <c r="J27" s="513" t="n">
        <v>1.967</v>
      </c>
      <c r="K27" s="276" t="n"/>
      <c r="L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G4+G6+G7+50</f>
        <v/>
      </c>
      <c r="H28" s="21" t="inlineStr">
        <is>
          <t>/</t>
        </is>
      </c>
      <c r="I28" s="21" t="inlineStr">
        <is>
          <t>/</t>
        </is>
      </c>
      <c r="J28" s="513" t="n">
        <v>2.079</v>
      </c>
      <c r="K28" s="276" t="n"/>
      <c r="L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G4+G6+G7+50</f>
        <v/>
      </c>
      <c r="H29" s="21" t="inlineStr">
        <is>
          <t>/</t>
        </is>
      </c>
      <c r="I29" s="21" t="inlineStr">
        <is>
          <t>/</t>
        </is>
      </c>
      <c r="J29" s="513" t="n">
        <v>2.079</v>
      </c>
      <c r="K29" s="276" t="n"/>
      <c r="L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21" t="inlineStr">
        <is>
          <t>/</t>
        </is>
      </c>
      <c r="H30" s="21" t="inlineStr">
        <is>
          <t>/</t>
        </is>
      </c>
      <c r="I30" s="21" t="inlineStr">
        <is>
          <t>/</t>
        </is>
      </c>
      <c r="J30" s="513" t="n">
        <v>1.956</v>
      </c>
      <c r="K30" s="276" t="n"/>
      <c r="L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21" t="inlineStr">
        <is>
          <t>/</t>
        </is>
      </c>
      <c r="H31" s="21" t="inlineStr">
        <is>
          <t>/</t>
        </is>
      </c>
      <c r="I31" s="21" t="inlineStr">
        <is>
          <t>/</t>
        </is>
      </c>
      <c r="J31" s="513" t="n">
        <v>2.029</v>
      </c>
      <c r="K31" s="276" t="n"/>
      <c r="L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21" t="inlineStr">
        <is>
          <t>/</t>
        </is>
      </c>
      <c r="H32" s="21" t="inlineStr">
        <is>
          <t>/</t>
        </is>
      </c>
      <c r="I32" s="21" t="inlineStr">
        <is>
          <t>/</t>
        </is>
      </c>
      <c r="J32" s="513" t="n">
        <v>1.988</v>
      </c>
      <c r="K32" s="276" t="n"/>
      <c r="L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21" t="inlineStr">
        <is>
          <t>/</t>
        </is>
      </c>
      <c r="H33" s="21" t="inlineStr">
        <is>
          <t>/</t>
        </is>
      </c>
      <c r="I33" s="21" t="inlineStr">
        <is>
          <t>/</t>
        </is>
      </c>
      <c r="J33" s="513" t="n">
        <v>1.893</v>
      </c>
      <c r="K33" s="276" t="n"/>
      <c r="L33" s="376" t="n">
        <v>1.893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43" t="n"/>
      <c r="G34" s="344" t="n"/>
      <c r="H34" s="345" t="n"/>
      <c r="I34" s="345" t="n"/>
      <c r="J34" s="513" t="n"/>
      <c r="K34" s="276" t="n"/>
      <c r="L34" s="3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456" t="n"/>
      <c r="K35" s="148" t="n"/>
      <c r="L35" s="347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萍钢">
    <tabColor rgb="FFFF0000"/>
    <outlinePr summaryBelow="1" summaryRight="1"/>
    <pageSetUpPr/>
  </sheetPr>
  <dimension ref="A1:Z200"/>
  <sheetViews>
    <sheetView topLeftCell="E1"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.25" customWidth="1" style="525" min="7" max="7"/>
    <col width="8.375" customWidth="1" style="525" min="8" max="11"/>
    <col hidden="1" width="8.375" customWidth="1" style="525" min="12" max="13"/>
    <col width="8.375" customWidth="1" style="525" min="14" max="14"/>
    <col width="9" customWidth="1" style="424" min="15" max="15"/>
    <col hidden="1" width="8.375" customWidth="1" style="525" min="16" max="17"/>
    <col width="9" customWidth="1" style="424" min="18" max="19"/>
    <col hidden="1" width="9" customWidth="1" style="424" min="20" max="22"/>
    <col width="9" customWidth="1" style="424" min="23" max="23"/>
    <col width="9" customWidth="1" style="424" min="24" max="26"/>
  </cols>
  <sheetData>
    <row r="1" ht="14.25" customHeight="1" s="527">
      <c r="A1" s="4" t="n"/>
      <c r="B1" s="4" t="n"/>
      <c r="C1" s="4" t="n"/>
      <c r="D1" s="4" t="n"/>
      <c r="E1" s="4" t="n"/>
      <c r="F1" s="208" t="inlineStr">
        <is>
          <t>其他</t>
        </is>
      </c>
      <c r="G1" s="548" t="inlineStr">
        <is>
          <t>网价[2026-04-29]</t>
        </is>
      </c>
      <c r="H1" s="299" t="inlineStr">
        <is>
          <t>郑蒲港</t>
        </is>
      </c>
      <c r="I1" s="300" t="n"/>
      <c r="J1" s="301" t="inlineStr">
        <is>
          <t>江西</t>
        </is>
      </c>
      <c r="K1" s="530" t="n"/>
      <c r="L1" s="301" t="inlineStr">
        <is>
          <t>江西</t>
        </is>
      </c>
      <c r="M1" s="530" t="n"/>
      <c r="N1" s="302" t="inlineStr">
        <is>
          <t>合肥</t>
        </is>
      </c>
      <c r="O1" s="300" t="n"/>
      <c r="P1" s="303" t="inlineStr">
        <is>
          <t>南京</t>
        </is>
      </c>
      <c r="Q1" s="536" t="n"/>
      <c r="R1" s="88" t="n"/>
      <c r="S1" s="254" t="n"/>
      <c r="T1" s="254" t="n"/>
      <c r="U1" s="254" t="n"/>
      <c r="V1" s="254" t="n"/>
      <c r="W1" s="254" t="n"/>
      <c r="X1" s="376" t="n"/>
    </row>
    <row r="2" ht="14.25" customHeight="1" s="527">
      <c r="A2" s="11" t="inlineStr">
        <is>
          <t>钢材询价表（萍钢）</t>
        </is>
      </c>
      <c r="F2" s="305" t="inlineStr">
        <is>
          <t>高线10基价</t>
        </is>
      </c>
      <c r="G2" s="309" t="n"/>
      <c r="H2" s="318" t="n"/>
      <c r="I2" s="300" t="n"/>
      <c r="J2" s="318" t="n"/>
      <c r="K2" s="302" t="n"/>
      <c r="L2" s="318" t="n"/>
      <c r="M2" s="302" t="n"/>
      <c r="N2" s="318" t="n"/>
      <c r="O2" s="300" t="n"/>
      <c r="P2" s="306" t="n"/>
      <c r="Q2" s="307" t="inlineStr">
        <is>
          <t>/</t>
        </is>
      </c>
      <c r="R2" s="308" t="n"/>
      <c r="S2" s="308" t="n"/>
      <c r="T2" s="254" t="n"/>
      <c r="U2" s="308" t="n"/>
      <c r="V2" s="254" t="n"/>
      <c r="W2" s="254" t="n"/>
      <c r="X2" s="376" t="n"/>
    </row>
    <row r="3" ht="14.25" customHeight="1" s="527">
      <c r="F3" s="305" t="inlineStr">
        <is>
          <t>盘螺10基价</t>
        </is>
      </c>
      <c r="G3" s="309" t="n">
        <v>3590</v>
      </c>
      <c r="H3" s="310" t="n"/>
      <c r="I3" s="300" t="n"/>
      <c r="J3" s="187" t="n"/>
      <c r="K3" s="302" t="n"/>
      <c r="L3" s="187" t="n"/>
      <c r="M3" s="302" t="n"/>
      <c r="N3" s="310" t="n"/>
      <c r="O3" s="300" t="n"/>
      <c r="P3" s="311" t="n"/>
      <c r="Q3" s="307" t="inlineStr">
        <is>
          <t>/</t>
        </is>
      </c>
      <c r="R3" s="326" t="n"/>
      <c r="S3" s="326" t="n"/>
      <c r="T3" s="254" t="n"/>
      <c r="U3" s="326" t="n"/>
      <c r="V3" s="254" t="n"/>
      <c r="W3" s="254" t="n"/>
      <c r="X3" s="376" t="n"/>
    </row>
    <row r="4" ht="14.25" customHeight="1" s="527">
      <c r="A4" s="18" t="inlineStr">
        <is>
          <t xml:space="preserve"> 需求单位：</t>
        </is>
      </c>
      <c r="E4" s="533" t="n"/>
      <c r="F4" s="305" t="inlineStr">
        <is>
          <t>螺纹18基价</t>
        </is>
      </c>
      <c r="G4" s="309" t="n">
        <v>3360</v>
      </c>
      <c r="H4" s="310" t="n"/>
      <c r="I4" s="300" t="n"/>
      <c r="J4" s="187" t="n"/>
      <c r="K4" s="302" t="n"/>
      <c r="L4" s="187" t="n"/>
      <c r="M4" s="302" t="n"/>
      <c r="N4" s="310" t="n"/>
      <c r="O4" s="300" t="n"/>
      <c r="P4" s="311" t="n"/>
      <c r="Q4" s="307" t="inlineStr">
        <is>
          <t>/</t>
        </is>
      </c>
      <c r="R4" s="326" t="n"/>
      <c r="S4" s="326" t="n"/>
      <c r="T4" s="254" t="n"/>
      <c r="U4" s="326" t="n"/>
      <c r="V4" s="254" t="n"/>
      <c r="W4" s="254" t="n"/>
      <c r="X4" s="376" t="n"/>
    </row>
    <row r="5" ht="14.25" customHeight="1" s="527">
      <c r="E5" s="533" t="n"/>
      <c r="F5" s="210" t="inlineStr">
        <is>
          <t>不开票运费</t>
        </is>
      </c>
      <c r="G5" s="313" t="n"/>
      <c r="H5" s="315" t="n"/>
      <c r="I5" s="300" t="n"/>
      <c r="J5" s="315" t="n"/>
      <c r="K5" s="302" t="inlineStr">
        <is>
          <t>/</t>
        </is>
      </c>
      <c r="L5" s="315" t="n"/>
      <c r="M5" s="302" t="inlineStr">
        <is>
          <t>/</t>
        </is>
      </c>
      <c r="N5" s="315" t="n"/>
      <c r="O5" s="300" t="n"/>
      <c r="P5" s="314" t="n"/>
      <c r="Q5" s="307" t="inlineStr">
        <is>
          <t>/</t>
        </is>
      </c>
      <c r="R5" s="88" t="n"/>
      <c r="S5" s="88" t="n"/>
      <c r="T5" s="254" t="n"/>
      <c r="U5" s="88" t="n"/>
      <c r="V5" s="254" t="n"/>
      <c r="W5" s="254" t="n"/>
      <c r="X5" s="376" t="n"/>
    </row>
    <row r="6" ht="14.25" customHeight="1" s="527">
      <c r="E6" s="533" t="n"/>
      <c r="F6" s="210" t="inlineStr">
        <is>
          <t>一票制运费</t>
        </is>
      </c>
      <c r="G6" s="193" t="n"/>
      <c r="H6" s="315" t="n">
        <v>60</v>
      </c>
      <c r="I6" s="300" t="n"/>
      <c r="J6" s="315" t="n"/>
      <c r="K6" s="302" t="inlineStr">
        <is>
          <t>/</t>
        </is>
      </c>
      <c r="L6" s="315" t="n"/>
      <c r="M6" s="302" t="inlineStr">
        <is>
          <t>/</t>
        </is>
      </c>
      <c r="N6" s="315" t="n"/>
      <c r="O6" s="300" t="n"/>
      <c r="P6" s="314" t="n"/>
      <c r="Q6" s="307" t="n"/>
      <c r="R6" s="88" t="n"/>
      <c r="S6" s="88" t="n"/>
      <c r="T6" s="254" t="n"/>
      <c r="U6" s="88" t="n"/>
      <c r="V6" s="254" t="n"/>
      <c r="W6" s="254" t="n"/>
      <c r="X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5" t="n"/>
      <c r="I7" s="300" t="n"/>
      <c r="J7" s="315" t="n"/>
      <c r="K7" s="302" t="inlineStr">
        <is>
          <t>/</t>
        </is>
      </c>
      <c r="L7" s="315" t="n"/>
      <c r="M7" s="302" t="inlineStr">
        <is>
          <t>/</t>
        </is>
      </c>
      <c r="N7" s="315" t="n"/>
      <c r="O7" s="300" t="n"/>
      <c r="P7" s="314" t="n"/>
      <c r="Q7" s="307" t="inlineStr">
        <is>
          <t>/</t>
        </is>
      </c>
      <c r="R7" s="88" t="n"/>
      <c r="S7" s="88" t="n"/>
      <c r="T7" s="254" t="n"/>
      <c r="U7" s="88" t="n"/>
      <c r="V7" s="254" t="n"/>
      <c r="W7" s="254" t="n"/>
      <c r="X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16" t="inlineStr">
        <is>
          <t xml:space="preserve"> </t>
        </is>
      </c>
      <c r="G8" s="317" t="inlineStr">
        <is>
          <t>合肥市场网价</t>
        </is>
      </c>
      <c r="H8" s="318" t="inlineStr">
        <is>
          <t>嘉倍</t>
        </is>
      </c>
      <c r="I8" s="302" t="inlineStr">
        <is>
          <t>网差</t>
        </is>
      </c>
      <c r="J8" s="318" t="inlineStr">
        <is>
          <t>骞腾</t>
        </is>
      </c>
      <c r="K8" s="302" t="inlineStr">
        <is>
          <t>网差</t>
        </is>
      </c>
      <c r="L8" s="318" t="inlineStr">
        <is>
          <t>骞腾</t>
        </is>
      </c>
      <c r="M8" s="302" t="inlineStr">
        <is>
          <t>网差</t>
        </is>
      </c>
      <c r="N8" s="318" t="inlineStr">
        <is>
          <t>瑞豪</t>
        </is>
      </c>
      <c r="O8" s="302" t="inlineStr">
        <is>
          <t>网差</t>
        </is>
      </c>
      <c r="P8" s="502" t="n"/>
      <c r="Q8" s="513" t="inlineStr">
        <is>
          <t>网差</t>
        </is>
      </c>
      <c r="R8" s="319" t="inlineStr">
        <is>
          <t>江西级差</t>
        </is>
      </c>
      <c r="S8" s="319" t="inlineStr">
        <is>
          <t>合肥级差</t>
        </is>
      </c>
      <c r="T8" s="326" t="inlineStr">
        <is>
          <t>江苏级差</t>
        </is>
      </c>
      <c r="U8" s="319" t="inlineStr">
        <is>
          <t>合肥级差</t>
        </is>
      </c>
      <c r="V8" s="326" t="inlineStr">
        <is>
          <t>江苏级差</t>
        </is>
      </c>
      <c r="W8" s="326" t="inlineStr">
        <is>
          <t>郑蒲港级差</t>
        </is>
      </c>
      <c r="X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8">
        <f>G2</f>
        <v/>
      </c>
      <c r="H9" s="310" t="inlineStr">
        <is>
          <t>/</t>
        </is>
      </c>
      <c r="I9" s="300" t="n"/>
      <c r="J9" s="310" t="inlineStr">
        <is>
          <t>/</t>
        </is>
      </c>
      <c r="K9" s="302" t="inlineStr">
        <is>
          <t>/</t>
        </is>
      </c>
      <c r="L9" s="310" t="inlineStr">
        <is>
          <t>/</t>
        </is>
      </c>
      <c r="M9" s="302" t="inlineStr">
        <is>
          <t>/</t>
        </is>
      </c>
      <c r="N9" s="310" t="inlineStr">
        <is>
          <t>/</t>
        </is>
      </c>
      <c r="O9" s="300" t="n"/>
      <c r="P9" s="21" t="inlineStr">
        <is>
          <t>/</t>
        </is>
      </c>
      <c r="Q9" s="513" t="inlineStr">
        <is>
          <t>/</t>
        </is>
      </c>
      <c r="R9" s="320" t="inlineStr">
        <is>
          <t>/</t>
        </is>
      </c>
      <c r="S9" s="326" t="inlineStr">
        <is>
          <t>/</t>
        </is>
      </c>
      <c r="T9" s="254" t="n"/>
      <c r="U9" s="326" t="inlineStr">
        <is>
          <t>/</t>
        </is>
      </c>
      <c r="V9" s="254" t="n"/>
      <c r="W9" s="254" t="n"/>
      <c r="X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8">
        <f>G2+G6</f>
        <v/>
      </c>
      <c r="H10" s="310" t="inlineStr">
        <is>
          <t>/</t>
        </is>
      </c>
      <c r="I10" s="300" t="n"/>
      <c r="J10" s="310" t="inlineStr">
        <is>
          <t>/</t>
        </is>
      </c>
      <c r="K10" s="302" t="inlineStr">
        <is>
          <t>/</t>
        </is>
      </c>
      <c r="L10" s="310" t="inlineStr">
        <is>
          <t>/</t>
        </is>
      </c>
      <c r="M10" s="302" t="inlineStr">
        <is>
          <t>/</t>
        </is>
      </c>
      <c r="N10" s="310" t="inlineStr">
        <is>
          <t>/</t>
        </is>
      </c>
      <c r="O10" s="300" t="n"/>
      <c r="P10" s="21" t="inlineStr">
        <is>
          <t>/</t>
        </is>
      </c>
      <c r="Q10" s="513" t="inlineStr">
        <is>
          <t>/</t>
        </is>
      </c>
      <c r="R10" s="320" t="inlineStr">
        <is>
          <t>/</t>
        </is>
      </c>
      <c r="S10" s="326" t="inlineStr">
        <is>
          <t>/</t>
        </is>
      </c>
      <c r="T10" s="254" t="n"/>
      <c r="U10" s="326" t="inlineStr">
        <is>
          <t>/</t>
        </is>
      </c>
      <c r="V10" s="254" t="n"/>
      <c r="W10" s="254" t="n"/>
      <c r="X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53">
        <f>G2+G6</f>
        <v/>
      </c>
      <c r="H11" s="310" t="inlineStr">
        <is>
          <t>/</t>
        </is>
      </c>
      <c r="I11" s="300" t="inlineStr">
        <is>
          <t xml:space="preserve"> </t>
        </is>
      </c>
      <c r="J11" s="310" t="inlineStr">
        <is>
          <t>/</t>
        </is>
      </c>
      <c r="K11" s="302" t="inlineStr">
        <is>
          <t>/</t>
        </is>
      </c>
      <c r="L11" s="310" t="inlineStr">
        <is>
          <t>/</t>
        </is>
      </c>
      <c r="M11" s="302" t="inlineStr">
        <is>
          <t>/</t>
        </is>
      </c>
      <c r="N11" s="310" t="inlineStr">
        <is>
          <t>/</t>
        </is>
      </c>
      <c r="O11" s="300" t="inlineStr">
        <is>
          <t xml:space="preserve"> </t>
        </is>
      </c>
      <c r="P11" s="21" t="inlineStr">
        <is>
          <t>/</t>
        </is>
      </c>
      <c r="Q11" s="513" t="inlineStr">
        <is>
          <t>/</t>
        </is>
      </c>
      <c r="R11" s="320" t="inlineStr">
        <is>
          <t>/</t>
        </is>
      </c>
      <c r="S11" s="326" t="inlineStr">
        <is>
          <t>/</t>
        </is>
      </c>
      <c r="T11" s="326" t="n"/>
      <c r="U11" s="326" t="inlineStr">
        <is>
          <t>/</t>
        </is>
      </c>
      <c r="V11" s="326" t="n"/>
      <c r="W11" s="326" t="n"/>
      <c r="X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n"/>
      <c r="G12" s="248">
        <f>G3+300+G6</f>
        <v/>
      </c>
      <c r="H12" s="321">
        <f>H3+H6+H7+300</f>
        <v/>
      </c>
      <c r="I12" s="300">
        <f>G12-H12</f>
        <v/>
      </c>
      <c r="J12" s="321">
        <f>J3+J6+350</f>
        <v/>
      </c>
      <c r="K12" s="302">
        <f>G12-J12</f>
        <v/>
      </c>
      <c r="L12" s="321">
        <f>L3+L6+350</f>
        <v/>
      </c>
      <c r="M12" s="302">
        <f>I12-L12</f>
        <v/>
      </c>
      <c r="N12" s="321">
        <f>N3+N6+N7+300</f>
        <v/>
      </c>
      <c r="O12" s="300">
        <f>G12-N12</f>
        <v/>
      </c>
      <c r="P12" s="36">
        <f>P3+P6+P7+300</f>
        <v/>
      </c>
      <c r="Q12" s="513">
        <f>G12-P12</f>
        <v/>
      </c>
      <c r="R12" s="324">
        <f>R3+R6+350</f>
        <v/>
      </c>
      <c r="S12" s="325" t="n">
        <v>310</v>
      </c>
      <c r="T12" s="326" t="n">
        <v>300</v>
      </c>
      <c r="U12" s="325">
        <f>U3+U6+U7+300</f>
        <v/>
      </c>
      <c r="V12" s="326" t="n">
        <v>300</v>
      </c>
      <c r="W12" s="326" t="n">
        <v>300</v>
      </c>
      <c r="X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n"/>
      <c r="G13" s="193">
        <f>G3+G6+G7</f>
        <v/>
      </c>
      <c r="H13" s="321">
        <f>H3+H6+H7</f>
        <v/>
      </c>
      <c r="I13" s="300">
        <f>G13-H13</f>
        <v/>
      </c>
      <c r="J13" s="321">
        <f>J3+J6</f>
        <v/>
      </c>
      <c r="K13" s="302">
        <f>G13-J13</f>
        <v/>
      </c>
      <c r="L13" s="321">
        <f>L3+L6</f>
        <v/>
      </c>
      <c r="M13" s="302">
        <f>I13-L13</f>
        <v/>
      </c>
      <c r="N13" s="321">
        <f>N3+N6+N7</f>
        <v/>
      </c>
      <c r="O13" s="300">
        <f>G13-N13</f>
        <v/>
      </c>
      <c r="P13" s="36">
        <f>P3+P6+P7</f>
        <v/>
      </c>
      <c r="Q13" s="513">
        <f>G13-P13</f>
        <v/>
      </c>
      <c r="R13" s="324">
        <f>R3+R6</f>
        <v/>
      </c>
      <c r="S13" s="325">
        <f>S3+S6+S7</f>
        <v/>
      </c>
      <c r="T13" s="326" t="n"/>
      <c r="U13" s="325">
        <f>U3+U6+U7</f>
        <v/>
      </c>
      <c r="V13" s="326" t="n"/>
      <c r="W13" s="326" t="n"/>
      <c r="X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n"/>
      <c r="G14" s="195">
        <f>G3+G6+G7</f>
        <v/>
      </c>
      <c r="H14" s="321">
        <f>H3+H6+H7</f>
        <v/>
      </c>
      <c r="I14" s="300">
        <f>G14-H14</f>
        <v/>
      </c>
      <c r="J14" s="321">
        <f>J3+J6</f>
        <v/>
      </c>
      <c r="K14" s="302">
        <f>G14-J14</f>
        <v/>
      </c>
      <c r="L14" s="321">
        <f>L3+L6</f>
        <v/>
      </c>
      <c r="M14" s="302">
        <f>I14-L14</f>
        <v/>
      </c>
      <c r="N14" s="321">
        <f>N3+N6+N7</f>
        <v/>
      </c>
      <c r="O14" s="300">
        <f>G14-N14</f>
        <v/>
      </c>
      <c r="P14" s="36">
        <f>P3+P6+P7</f>
        <v/>
      </c>
      <c r="Q14" s="513">
        <f>G14-P14</f>
        <v/>
      </c>
      <c r="R14" s="324">
        <f>R3+R6</f>
        <v/>
      </c>
      <c r="S14" s="325">
        <f>S3+S6+S7</f>
        <v/>
      </c>
      <c r="T14" s="326" t="n"/>
      <c r="U14" s="325">
        <f>U3+U6+U7</f>
        <v/>
      </c>
      <c r="V14" s="326" t="n"/>
      <c r="W14" s="326" t="n"/>
      <c r="X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3" t="inlineStr">
        <is>
          <t>/</t>
        </is>
      </c>
      <c r="H15" s="321" t="n"/>
      <c r="I15" s="302" t="n"/>
      <c r="J15" s="321" t="n"/>
      <c r="K15" s="302" t="n"/>
      <c r="L15" s="321" t="n"/>
      <c r="M15" s="302">
        <f>I15-L15</f>
        <v/>
      </c>
      <c r="N15" s="321" t="n"/>
      <c r="O15" s="302" t="n"/>
      <c r="P15" s="36" t="n"/>
      <c r="Q15" s="513" t="n"/>
      <c r="R15" s="441" t="inlineStr">
        <is>
          <t>/</t>
        </is>
      </c>
      <c r="S15" s="441" t="inlineStr">
        <is>
          <t>/</t>
        </is>
      </c>
      <c r="T15" s="441" t="inlineStr">
        <is>
          <t>/</t>
        </is>
      </c>
      <c r="U15" s="441" t="inlineStr">
        <is>
          <t>/</t>
        </is>
      </c>
      <c r="V15" s="441" t="inlineStr">
        <is>
          <t>/</t>
        </is>
      </c>
      <c r="W15" s="441" t="inlineStr">
        <is>
          <t>/</t>
        </is>
      </c>
      <c r="X15" s="441" t="inlineStr">
        <is>
          <t>/</t>
        </is>
      </c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n"/>
      <c r="G16" s="193">
        <f>G4+G6+80+20</f>
        <v/>
      </c>
      <c r="H16" s="321">
        <f>H4+H6+70+30-20</f>
        <v/>
      </c>
      <c r="I16" s="300">
        <f>G16-H16</f>
        <v/>
      </c>
      <c r="J16" s="321">
        <f>J4+J6+140+60</f>
        <v/>
      </c>
      <c r="K16" s="302">
        <f>G16-J16</f>
        <v/>
      </c>
      <c r="L16" s="321">
        <f>L4+L6+140</f>
        <v/>
      </c>
      <c r="M16" s="302">
        <f>I16-L16</f>
        <v/>
      </c>
      <c r="N16" s="321">
        <f>N4+N6+70+10</f>
        <v/>
      </c>
      <c r="O16" s="300">
        <f>G16-N16</f>
        <v/>
      </c>
      <c r="P16" s="36">
        <f>P4+P6+P7+100</f>
        <v/>
      </c>
      <c r="Q16" s="513">
        <f>G16-P16</f>
        <v/>
      </c>
      <c r="R16" s="324" t="n">
        <v>200</v>
      </c>
      <c r="S16" s="325" t="n">
        <v>100</v>
      </c>
      <c r="T16" s="326" t="n">
        <v>100</v>
      </c>
      <c r="U16" s="325" t="n"/>
      <c r="V16" s="326" t="n"/>
      <c r="W16" s="326" t="n">
        <v>80</v>
      </c>
      <c r="X16" s="376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n"/>
      <c r="G17" s="193">
        <f>G4+G6+80+20</f>
        <v/>
      </c>
      <c r="H17" s="321">
        <f>H4+H6+70+30-20</f>
        <v/>
      </c>
      <c r="I17" s="300">
        <f>G17-H17</f>
        <v/>
      </c>
      <c r="J17" s="321">
        <f>J4+J6+140+50+60</f>
        <v/>
      </c>
      <c r="K17" s="302">
        <f>G17-J17</f>
        <v/>
      </c>
      <c r="L17" s="321">
        <f>L4+L6+140+50</f>
        <v/>
      </c>
      <c r="M17" s="302">
        <f>I17-L17</f>
        <v/>
      </c>
      <c r="N17" s="321">
        <f>N4+N6+70+10</f>
        <v/>
      </c>
      <c r="O17" s="300">
        <f>G17-N17</f>
        <v/>
      </c>
      <c r="P17" s="36">
        <f>P4+P6+P7+100</f>
        <v/>
      </c>
      <c r="Q17" s="513">
        <f>G17-P17</f>
        <v/>
      </c>
      <c r="R17" s="324" t="n">
        <v>250</v>
      </c>
      <c r="S17" s="325" t="n">
        <v>100</v>
      </c>
      <c r="T17" s="326" t="n">
        <v>100</v>
      </c>
      <c r="U17" s="325" t="n">
        <v>100</v>
      </c>
      <c r="V17" s="326" t="n">
        <v>100</v>
      </c>
      <c r="W17" s="326" t="n">
        <v>80</v>
      </c>
      <c r="X17" s="376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n"/>
      <c r="G18" s="193">
        <f>G4+G6+30+20</f>
        <v/>
      </c>
      <c r="H18" s="321">
        <f>H4+H6+30+20</f>
        <v/>
      </c>
      <c r="I18" s="300">
        <f>G18-H18</f>
        <v/>
      </c>
      <c r="J18" s="321">
        <f>J4+J6+100+40</f>
        <v/>
      </c>
      <c r="K18" s="302">
        <f>G18-J18</f>
        <v/>
      </c>
      <c r="L18" s="321">
        <f>L4+L6+100</f>
        <v/>
      </c>
      <c r="M18" s="302">
        <f>I18-L18</f>
        <v/>
      </c>
      <c r="N18" s="321">
        <f>N4+N6+30+20</f>
        <v/>
      </c>
      <c r="O18" s="300">
        <f>G18-N18</f>
        <v/>
      </c>
      <c r="P18" s="36">
        <f>P4+P6+P7+30</f>
        <v/>
      </c>
      <c r="Q18" s="513">
        <f>G18-P18</f>
        <v/>
      </c>
      <c r="R18" s="324" t="n">
        <v>140</v>
      </c>
      <c r="S18" s="325" t="n">
        <v>50</v>
      </c>
      <c r="T18" s="326" t="n">
        <v>30</v>
      </c>
      <c r="U18" s="325" t="n">
        <v>100</v>
      </c>
      <c r="V18" s="326" t="n">
        <v>100</v>
      </c>
      <c r="W18" s="326" t="n">
        <v>50</v>
      </c>
      <c r="X18" s="376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G4+G6+30+20</f>
        <v/>
      </c>
      <c r="H19" s="321">
        <f>H4+H6+30+20</f>
        <v/>
      </c>
      <c r="I19" s="300">
        <f>G19-H19</f>
        <v/>
      </c>
      <c r="J19" s="321">
        <f>J4+J6+100+50+40</f>
        <v/>
      </c>
      <c r="K19" s="302">
        <f>G19-J19</f>
        <v/>
      </c>
      <c r="L19" s="321">
        <f>L4+L6+100+50</f>
        <v/>
      </c>
      <c r="M19" s="302">
        <f>I19-L19</f>
        <v/>
      </c>
      <c r="N19" s="321">
        <f>N4+N6+30+20</f>
        <v/>
      </c>
      <c r="O19" s="300">
        <f>G19-N19</f>
        <v/>
      </c>
      <c r="P19" s="36">
        <f>P4+P6+P7+30</f>
        <v/>
      </c>
      <c r="Q19" s="513">
        <f>G19-P19</f>
        <v/>
      </c>
      <c r="R19" s="327" t="n">
        <v>190</v>
      </c>
      <c r="S19" s="325" t="n">
        <v>50</v>
      </c>
      <c r="T19" s="326" t="n">
        <v>30</v>
      </c>
      <c r="U19" s="325">
        <f>U4+U6+U7+40</f>
        <v/>
      </c>
      <c r="V19" s="326" t="n">
        <v>50</v>
      </c>
      <c r="W19" s="326" t="n">
        <v>50</v>
      </c>
      <c r="X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G4+G6+20+10+10+10</f>
        <v/>
      </c>
      <c r="H20" s="321">
        <f>H4+H6+30+20</f>
        <v/>
      </c>
      <c r="I20" s="300">
        <f>G20-H20</f>
        <v/>
      </c>
      <c r="J20" s="321">
        <f>J4+J6+100+40</f>
        <v/>
      </c>
      <c r="K20" s="302">
        <f>G20-J20</f>
        <v/>
      </c>
      <c r="L20" s="321">
        <f>L4+L6+100</f>
        <v/>
      </c>
      <c r="M20" s="302">
        <f>I20-L20</f>
        <v/>
      </c>
      <c r="N20" s="321">
        <f>N4+N6+30+20</f>
        <v/>
      </c>
      <c r="O20" s="300">
        <f>G20-N20</f>
        <v/>
      </c>
      <c r="P20" s="36">
        <f>P4+P6+P7+20</f>
        <v/>
      </c>
      <c r="Q20" s="513">
        <f>G20-P20</f>
        <v/>
      </c>
      <c r="R20" s="327" t="n">
        <v>140</v>
      </c>
      <c r="S20" s="325" t="n">
        <v>30</v>
      </c>
      <c r="T20" s="326" t="n">
        <v>20</v>
      </c>
      <c r="U20" s="325">
        <f>U4+U6+U7+40</f>
        <v/>
      </c>
      <c r="V20" s="326" t="n">
        <v>50</v>
      </c>
      <c r="W20" s="326" t="n">
        <v>50</v>
      </c>
      <c r="X20" s="376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G4+G6+20+10+10+10</f>
        <v/>
      </c>
      <c r="H21" s="321">
        <f>H4+H6+30+20</f>
        <v/>
      </c>
      <c r="I21" s="300">
        <f>G21-H21</f>
        <v/>
      </c>
      <c r="J21" s="321">
        <f>J4+J6+100+50+40</f>
        <v/>
      </c>
      <c r="K21" s="302">
        <f>G21-J21</f>
        <v/>
      </c>
      <c r="L21" s="321">
        <f>L4+L6+100+50</f>
        <v/>
      </c>
      <c r="M21" s="302">
        <f>I21-L21</f>
        <v/>
      </c>
      <c r="N21" s="321">
        <f>N4+N6+30+20</f>
        <v/>
      </c>
      <c r="O21" s="300">
        <f>G21-N21</f>
        <v/>
      </c>
      <c r="P21" s="36">
        <f>P4+P6+P7+20</f>
        <v/>
      </c>
      <c r="Q21" s="513">
        <f>G21-P21</f>
        <v/>
      </c>
      <c r="R21" s="328" t="n">
        <v>190</v>
      </c>
      <c r="S21" s="325" t="n">
        <v>30</v>
      </c>
      <c r="T21" s="326" t="n">
        <v>20</v>
      </c>
      <c r="U21" s="325">
        <f>U4+U6+U7+40</f>
        <v/>
      </c>
      <c r="V21" s="326" t="n">
        <v>10</v>
      </c>
      <c r="W21" s="326" t="n">
        <v>50</v>
      </c>
      <c r="X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</f>
        <v/>
      </c>
      <c r="H22" s="321">
        <f>H4+H6+30</f>
        <v/>
      </c>
      <c r="I22" s="300">
        <f>G22-H22</f>
        <v/>
      </c>
      <c r="J22" s="321">
        <f>J4+J6+110+20</f>
        <v/>
      </c>
      <c r="K22" s="302">
        <f>G22-J22</f>
        <v/>
      </c>
      <c r="L22" s="321">
        <f>L4+L6+110</f>
        <v/>
      </c>
      <c r="M22" s="302">
        <f>I22-L22</f>
        <v/>
      </c>
      <c r="N22" s="321">
        <f>N4+N6+30</f>
        <v/>
      </c>
      <c r="O22" s="300">
        <f>G22-N22</f>
        <v/>
      </c>
      <c r="P22" s="36">
        <f>P4+P6+P7+10</f>
        <v/>
      </c>
      <c r="Q22" s="513">
        <f>G22-P22</f>
        <v/>
      </c>
      <c r="R22" s="324" t="n">
        <v>130</v>
      </c>
      <c r="S22" s="325" t="n">
        <v>0</v>
      </c>
      <c r="T22" s="326" t="n">
        <v>10</v>
      </c>
      <c r="U22" s="325">
        <f>U4+U6+U7+40</f>
        <v/>
      </c>
      <c r="V22" s="326" t="n">
        <v>10</v>
      </c>
      <c r="W22" s="326" t="n">
        <v>30</v>
      </c>
      <c r="X22" s="376" t="n">
        <v>2.52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</f>
        <v/>
      </c>
      <c r="H23" s="321">
        <f>H4+H6+30</f>
        <v/>
      </c>
      <c r="I23" s="300">
        <f>G23-H23</f>
        <v/>
      </c>
      <c r="J23" s="321">
        <f>J4+J6+160+20</f>
        <v/>
      </c>
      <c r="K23" s="302">
        <f>G23-J23</f>
        <v/>
      </c>
      <c r="L23" s="321">
        <f>L4+L6+160</f>
        <v/>
      </c>
      <c r="M23" s="302">
        <f>I23-L23</f>
        <v/>
      </c>
      <c r="N23" s="321">
        <f>N4+N6+30</f>
        <v/>
      </c>
      <c r="O23" s="300">
        <f>G23-N23</f>
        <v/>
      </c>
      <c r="P23" s="36">
        <f>P4+P6+P7+10</f>
        <v/>
      </c>
      <c r="Q23" s="513">
        <f>G23-P23</f>
        <v/>
      </c>
      <c r="R23" s="324" t="n">
        <v>180</v>
      </c>
      <c r="S23" s="325" t="n">
        <v>0</v>
      </c>
      <c r="T23" s="326" t="n">
        <v>10</v>
      </c>
      <c r="U23" s="325" t="n">
        <v>20</v>
      </c>
      <c r="V23" s="326" t="n">
        <v>10</v>
      </c>
      <c r="W23" s="326" t="n">
        <v>30</v>
      </c>
      <c r="X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G22+50</f>
        <v/>
      </c>
      <c r="H24" s="321">
        <f>H4+H6+50</f>
        <v/>
      </c>
      <c r="I24" s="300">
        <f>G24-H24</f>
        <v/>
      </c>
      <c r="J24" s="321">
        <f>J4+J6+160+50</f>
        <v/>
      </c>
      <c r="K24" s="302">
        <f>G24-J24</f>
        <v/>
      </c>
      <c r="L24" s="321">
        <f>L4+L6+160</f>
        <v/>
      </c>
      <c r="M24" s="302">
        <f>I24-L24</f>
        <v/>
      </c>
      <c r="N24" s="321">
        <f>N4+N6+50</f>
        <v/>
      </c>
      <c r="O24" s="300">
        <f>G24-N24</f>
        <v/>
      </c>
      <c r="P24" s="36">
        <f>P6+P4+P7</f>
        <v/>
      </c>
      <c r="Q24" s="513">
        <f>G24-P24</f>
        <v/>
      </c>
      <c r="R24" s="324" t="n">
        <v>210</v>
      </c>
      <c r="S24" s="325" t="n">
        <v>50</v>
      </c>
      <c r="T24" s="326" t="n">
        <v>50</v>
      </c>
      <c r="U24" s="325" t="n">
        <v>20</v>
      </c>
      <c r="V24" s="326" t="n">
        <v>10</v>
      </c>
      <c r="W24" s="326" t="n">
        <v>50</v>
      </c>
      <c r="X24" s="376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G24</f>
        <v/>
      </c>
      <c r="H25" s="321">
        <f>H4+H6+50</f>
        <v/>
      </c>
      <c r="I25" s="300">
        <f>G25-H25</f>
        <v/>
      </c>
      <c r="J25" s="321">
        <f>J4+J6+140+70+50</f>
        <v/>
      </c>
      <c r="K25" s="302">
        <f>G25-J25</f>
        <v/>
      </c>
      <c r="L25" s="321">
        <f>L4+L6+140+70</f>
        <v/>
      </c>
      <c r="M25" s="302">
        <f>I25-L25</f>
        <v/>
      </c>
      <c r="N25" s="321">
        <f>N4+N6+50</f>
        <v/>
      </c>
      <c r="O25" s="300">
        <f>G25-N25</f>
        <v/>
      </c>
      <c r="P25" s="36">
        <f>P4+P6+P7</f>
        <v/>
      </c>
      <c r="Q25" s="513">
        <f>G25-P25</f>
        <v/>
      </c>
      <c r="R25" s="324" t="n">
        <v>260</v>
      </c>
      <c r="S25" s="325" t="n">
        <v>50</v>
      </c>
      <c r="T25" s="326" t="n">
        <v>50</v>
      </c>
      <c r="U25" s="325">
        <f>U6+U4+U7+50</f>
        <v/>
      </c>
      <c r="V25" s="326" t="n"/>
      <c r="W25" s="326" t="n">
        <v>50</v>
      </c>
      <c r="X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G24+30</f>
        <v/>
      </c>
      <c r="H26" s="321">
        <f>H4+H6+50+30</f>
        <v/>
      </c>
      <c r="I26" s="300">
        <f>G26-H26</f>
        <v/>
      </c>
      <c r="J26" s="321">
        <f>J4+J6+100+40</f>
        <v/>
      </c>
      <c r="K26" s="302">
        <f>G26-J26</f>
        <v/>
      </c>
      <c r="L26" s="321">
        <f>L4+L6+100</f>
        <v/>
      </c>
      <c r="M26" s="302">
        <f>I26-L26</f>
        <v/>
      </c>
      <c r="N26" s="321">
        <f>N4+N6+50+30</f>
        <v/>
      </c>
      <c r="O26" s="300">
        <f>G26-N26</f>
        <v/>
      </c>
      <c r="P26" s="36">
        <f>P4+P6+P7+30</f>
        <v/>
      </c>
      <c r="Q26" s="513">
        <f>G26-P26</f>
        <v/>
      </c>
      <c r="R26" s="324" t="n">
        <v>140</v>
      </c>
      <c r="S26" s="325" t="n">
        <v>80</v>
      </c>
      <c r="T26" s="326" t="n">
        <v>50</v>
      </c>
      <c r="U26" s="325">
        <f>U4+U6+U7+50</f>
        <v/>
      </c>
      <c r="V26" s="326" t="n"/>
      <c r="W26" s="326" t="n">
        <v>80</v>
      </c>
      <c r="X26" s="376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93">
        <f>G24+30</f>
        <v/>
      </c>
      <c r="H27" s="321">
        <f>H4+H6+50+30</f>
        <v/>
      </c>
      <c r="I27" s="300">
        <f>G27-H27</f>
        <v/>
      </c>
      <c r="J27" s="321">
        <f>J4+J6+100+50+40</f>
        <v/>
      </c>
      <c r="K27" s="302">
        <f>G27-J27</f>
        <v/>
      </c>
      <c r="L27" s="321">
        <f>L4+L6+100+50</f>
        <v/>
      </c>
      <c r="M27" s="302">
        <f>I27-L27</f>
        <v/>
      </c>
      <c r="N27" s="321">
        <f>N4+N6+50+30</f>
        <v/>
      </c>
      <c r="O27" s="300">
        <f>G27-N27</f>
        <v/>
      </c>
      <c r="P27" s="36">
        <f>P4+P6+P7+30</f>
        <v/>
      </c>
      <c r="Q27" s="513">
        <f>G27-P27</f>
        <v/>
      </c>
      <c r="R27" s="324" t="n">
        <v>190</v>
      </c>
      <c r="S27" s="325" t="n">
        <v>80</v>
      </c>
      <c r="T27" s="326" t="n">
        <v>50</v>
      </c>
      <c r="U27" s="325">
        <f>U4+U6+U7+50</f>
        <v/>
      </c>
      <c r="V27" s="326" t="n">
        <v>30</v>
      </c>
      <c r="W27" s="326" t="n">
        <v>80</v>
      </c>
      <c r="X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321">
        <f>H4+H6+60+20</f>
        <v/>
      </c>
      <c r="I28" s="300">
        <f>G28-H28</f>
        <v/>
      </c>
      <c r="J28" s="321">
        <f>J4+J6+120+20</f>
        <v/>
      </c>
      <c r="K28" s="302">
        <f>G28-J28</f>
        <v/>
      </c>
      <c r="L28" s="321">
        <f>L4+L6+120</f>
        <v/>
      </c>
      <c r="M28" s="302">
        <f>I28-L28</f>
        <v/>
      </c>
      <c r="N28" s="321">
        <f>N4+N6+60+20</f>
        <v/>
      </c>
      <c r="O28" s="300">
        <f>G28-N28</f>
        <v/>
      </c>
      <c r="P28" s="36">
        <f>P4+P6+P7+50</f>
        <v/>
      </c>
      <c r="Q28" s="513">
        <f>G28-P28</f>
        <v/>
      </c>
      <c r="R28" s="324" t="n">
        <v>140</v>
      </c>
      <c r="S28" s="325" t="n">
        <v>80</v>
      </c>
      <c r="T28" s="326" t="n">
        <v>50</v>
      </c>
      <c r="U28" s="325">
        <f>U4+U6+U7+50</f>
        <v/>
      </c>
      <c r="V28" s="326" t="n">
        <v>30</v>
      </c>
      <c r="W28" s="326" t="n">
        <v>80</v>
      </c>
      <c r="X28" s="376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G4+G6+60+20</f>
        <v/>
      </c>
      <c r="H29" s="321">
        <f>H4+H6+60+20</f>
        <v/>
      </c>
      <c r="I29" s="300">
        <f>G29-H29</f>
        <v/>
      </c>
      <c r="J29" s="321">
        <f>J4+J6+120+50+20</f>
        <v/>
      </c>
      <c r="K29" s="302">
        <f>G29-J29</f>
        <v/>
      </c>
      <c r="L29" s="321">
        <f>L4+L6+120+50</f>
        <v/>
      </c>
      <c r="M29" s="302">
        <f>I29-L29</f>
        <v/>
      </c>
      <c r="N29" s="321">
        <f>N4+N6+60+20</f>
        <v/>
      </c>
      <c r="O29" s="300">
        <f>G29-N29</f>
        <v/>
      </c>
      <c r="P29" s="36">
        <f>P4+P6+P7+50</f>
        <v/>
      </c>
      <c r="Q29" s="513">
        <f>G29-P29</f>
        <v/>
      </c>
      <c r="R29" s="324" t="n">
        <v>190</v>
      </c>
      <c r="S29" s="325" t="n">
        <v>80</v>
      </c>
      <c r="T29" s="326" t="n">
        <v>50</v>
      </c>
      <c r="U29" s="325">
        <f>U4+U6+U7+50</f>
        <v/>
      </c>
      <c r="V29" s="326" t="n">
        <v>50</v>
      </c>
      <c r="W29" s="326" t="n">
        <v>80</v>
      </c>
      <c r="X29" s="376" t="n">
        <v>2.772</v>
      </c>
      <c r="Z29" s="329" t="n"/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G4+G6+120+30</f>
        <v/>
      </c>
      <c r="H30" s="321">
        <f>H4+H6+120+30</f>
        <v/>
      </c>
      <c r="I30" s="300">
        <f>G30-H30</f>
        <v/>
      </c>
      <c r="J30" s="321">
        <f>J4+J6+200+10</f>
        <v/>
      </c>
      <c r="K30" s="302">
        <f>G30-J30</f>
        <v/>
      </c>
      <c r="L30" s="321">
        <f>L4+L6+200</f>
        <v/>
      </c>
      <c r="M30" s="302">
        <f>I30-L30</f>
        <v/>
      </c>
      <c r="N30" s="321">
        <f>N4+N6+120+30</f>
        <v/>
      </c>
      <c r="O30" s="300">
        <f>G30-N30</f>
        <v/>
      </c>
      <c r="P30" s="36">
        <f>P4+P6+P7+80</f>
        <v/>
      </c>
      <c r="Q30" s="513">
        <f>G30-P30</f>
        <v/>
      </c>
      <c r="R30" s="324" t="n">
        <v>210</v>
      </c>
      <c r="S30" s="325" t="n">
        <v>150</v>
      </c>
      <c r="T30" s="326" t="n">
        <v>120</v>
      </c>
      <c r="U30" s="325">
        <f>U4+U6+U7+50</f>
        <v/>
      </c>
      <c r="V30" s="326" t="n">
        <v>50</v>
      </c>
      <c r="W30" s="326" t="n">
        <v>150</v>
      </c>
      <c r="X30" s="376" t="n">
        <v>2.391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G4+G6+120+30</f>
        <v/>
      </c>
      <c r="H31" s="321">
        <f>H4+H6+120+30</f>
        <v/>
      </c>
      <c r="I31" s="300">
        <f>G31-H31</f>
        <v/>
      </c>
      <c r="J31" s="321">
        <f>J4+J6+200+50+10</f>
        <v/>
      </c>
      <c r="K31" s="302">
        <f>G31-J31</f>
        <v/>
      </c>
      <c r="L31" s="321">
        <f>L4+L6+200+50</f>
        <v/>
      </c>
      <c r="M31" s="302">
        <f>I31-L31</f>
        <v/>
      </c>
      <c r="N31" s="321">
        <f>N4+N6+120+30</f>
        <v/>
      </c>
      <c r="O31" s="300">
        <f>G31-N31</f>
        <v/>
      </c>
      <c r="P31" s="36">
        <f>P4+P6+P7+80</f>
        <v/>
      </c>
      <c r="Q31" s="513">
        <f>G31-P31</f>
        <v/>
      </c>
      <c r="R31" s="324" t="n">
        <v>260</v>
      </c>
      <c r="S31" s="325" t="n">
        <v>150</v>
      </c>
      <c r="T31" s="326" t="n">
        <v>120</v>
      </c>
      <c r="U31" s="325">
        <f>U4+U6+U7+120</f>
        <v/>
      </c>
      <c r="V31" s="326" t="n">
        <v>80</v>
      </c>
      <c r="W31" s="326" t="n">
        <v>150</v>
      </c>
      <c r="X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G4+G6+120+30</f>
        <v/>
      </c>
      <c r="H32" s="321">
        <f>H4+H6+120+30</f>
        <v/>
      </c>
      <c r="I32" s="300">
        <f>G32-H32</f>
        <v/>
      </c>
      <c r="J32" s="321">
        <f>J4+J6+250</f>
        <v/>
      </c>
      <c r="K32" s="302">
        <f>G32-J32</f>
        <v/>
      </c>
      <c r="L32" s="321">
        <f>L4+L6+250</f>
        <v/>
      </c>
      <c r="M32" s="302">
        <f>I32-L32</f>
        <v/>
      </c>
      <c r="N32" s="321">
        <f>N4+N6+120+30</f>
        <v/>
      </c>
      <c r="O32" s="300">
        <f>G32-N32</f>
        <v/>
      </c>
      <c r="P32" s="36">
        <f>P4+P6+P7+80</f>
        <v/>
      </c>
      <c r="Q32" s="513">
        <f>G32-P32</f>
        <v/>
      </c>
      <c r="R32" s="324" t="n">
        <v>260</v>
      </c>
      <c r="S32" s="325" t="n">
        <v>150</v>
      </c>
      <c r="T32" s="326" t="n">
        <v>120</v>
      </c>
      <c r="U32" s="325">
        <f>U4+U6+U7+120</f>
        <v/>
      </c>
      <c r="V32" s="326" t="n">
        <v>80</v>
      </c>
      <c r="W32" s="326" t="n">
        <v>150</v>
      </c>
      <c r="X32" s="376" t="n">
        <v>2.556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G4+G6+120+30</f>
        <v/>
      </c>
      <c r="H33" s="321">
        <f>H4+H6+120+30</f>
        <v/>
      </c>
      <c r="I33" s="300">
        <f>G33-H33</f>
        <v/>
      </c>
      <c r="J33" s="321">
        <f>J4+J6+300</f>
        <v/>
      </c>
      <c r="K33" s="302">
        <f>G33-J33</f>
        <v/>
      </c>
      <c r="L33" s="321">
        <f>L4+L6+300</f>
        <v/>
      </c>
      <c r="M33" s="302">
        <f>I33-L33</f>
        <v/>
      </c>
      <c r="N33" s="321">
        <f>N4+N6+120+30</f>
        <v/>
      </c>
      <c r="O33" s="300">
        <f>G33-N33</f>
        <v/>
      </c>
      <c r="P33" s="36">
        <f>P4+P6+P7+80</f>
        <v/>
      </c>
      <c r="Q33" s="513">
        <f>G33-P33</f>
        <v/>
      </c>
      <c r="R33" s="324" t="n">
        <v>310</v>
      </c>
      <c r="S33" s="325" t="n">
        <v>150</v>
      </c>
      <c r="T33" s="326" t="n">
        <v>120</v>
      </c>
      <c r="U33" s="325">
        <f>U4+U6+U7+120</f>
        <v/>
      </c>
      <c r="V33" s="326" t="n">
        <v>80</v>
      </c>
      <c r="W33" s="326" t="n">
        <v>150</v>
      </c>
      <c r="X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30" t="inlineStr">
        <is>
          <t>运费报价单位</t>
        </is>
      </c>
      <c r="G34" s="331" t="n"/>
      <c r="H34" s="261" t="n"/>
      <c r="I34" s="332" t="n"/>
      <c r="J34" s="261" t="n"/>
      <c r="K34" s="332" t="n"/>
      <c r="L34" s="261" t="n"/>
      <c r="M34" s="332" t="n"/>
      <c r="N34" s="261" t="n"/>
      <c r="O34" s="333" t="n"/>
      <c r="P34" s="129" t="n"/>
      <c r="Q34" s="513" t="n"/>
      <c r="R34" s="334" t="n"/>
      <c r="S34" s="124" t="n"/>
      <c r="T34" s="254" t="n"/>
      <c r="U34" s="335" t="n"/>
      <c r="V34" s="326" t="n"/>
      <c r="W34" s="326" t="n"/>
      <c r="X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256" t="n"/>
      <c r="H35" s="256" t="n"/>
      <c r="I35" s="302" t="n"/>
      <c r="J35" s="256" t="n"/>
      <c r="K35" s="302" t="n"/>
      <c r="L35" s="256" t="n"/>
      <c r="M35" s="302" t="n"/>
      <c r="N35" s="256" t="n"/>
      <c r="O35" s="299" t="n"/>
      <c r="P35" s="160" t="n"/>
      <c r="Q35" s="513" t="n"/>
      <c r="R35" s="336" t="n"/>
      <c r="S35" s="376" t="n"/>
      <c r="T35" s="124" t="n"/>
      <c r="U35" s="124" t="n"/>
      <c r="V35" s="254" t="n"/>
      <c r="W35" s="254" t="n"/>
      <c r="X35" s="9" t="n"/>
    </row>
    <row r="36">
      <c r="A36" s="4" t="n"/>
      <c r="B36" s="4" t="n"/>
      <c r="C36" s="4" t="n"/>
      <c r="D36" s="4" t="n"/>
      <c r="E36" s="4" t="n"/>
      <c r="F36" s="419" t="n"/>
      <c r="G36" s="440" t="n"/>
      <c r="H36" s="226" t="n"/>
      <c r="I36" s="226" t="n"/>
      <c r="J36" s="226" t="n"/>
      <c r="K36" s="226" t="n"/>
      <c r="L36" s="226" t="n"/>
      <c r="M36" s="226" t="n"/>
      <c r="N36" s="226" t="n"/>
      <c r="O36" s="419" t="n"/>
      <c r="P36" s="226" t="n"/>
      <c r="Q36" s="226" t="n"/>
      <c r="R36" s="226" t="n"/>
      <c r="S36" s="226" t="n"/>
      <c r="T36" s="226" t="n"/>
      <c r="U36" s="226" t="n"/>
      <c r="V36" s="419" t="n"/>
      <c r="W36" s="419" t="n"/>
      <c r="X36" s="419" t="n"/>
    </row>
    <row r="37">
      <c r="A37" s="4" t="n"/>
      <c r="B37" s="4" t="n"/>
      <c r="C37" s="4" t="n"/>
      <c r="D37" s="4" t="n"/>
      <c r="E37" s="4" t="n"/>
      <c r="F37" s="419" t="n"/>
      <c r="G37" s="440" t="n"/>
      <c r="H37" s="226" t="n"/>
      <c r="I37" s="226" t="n"/>
      <c r="J37" s="226" t="n"/>
      <c r="K37" s="226" t="n"/>
      <c r="L37" s="226" t="n"/>
      <c r="M37" s="226" t="n"/>
      <c r="N37" s="226" t="n"/>
      <c r="O37" s="419" t="n"/>
      <c r="P37" s="226" t="n"/>
      <c r="Q37" s="226" t="n"/>
      <c r="R37" s="226" t="n"/>
      <c r="S37" s="226" t="n"/>
      <c r="T37" s="226" t="n"/>
      <c r="U37" s="226" t="n"/>
      <c r="V37" s="419" t="n"/>
      <c r="W37" s="419" t="n"/>
      <c r="X37" s="419" t="n"/>
    </row>
    <row r="38">
      <c r="A38" s="4" t="n"/>
      <c r="B38" s="4" t="n"/>
      <c r="C38" s="4" t="n"/>
      <c r="D38" s="4" t="n"/>
      <c r="E38" s="4" t="n"/>
      <c r="F38" s="419" t="n"/>
      <c r="G38" s="440" t="n"/>
      <c r="H38" s="226" t="n"/>
      <c r="I38" s="226" t="n"/>
      <c r="J38" s="226" t="n"/>
      <c r="K38" s="226" t="n"/>
      <c r="L38" s="226" t="n"/>
      <c r="M38" s="226" t="n"/>
      <c r="N38" s="226" t="n"/>
      <c r="O38" s="419" t="n"/>
      <c r="P38" s="226" t="n"/>
      <c r="Q38" s="226" t="n"/>
      <c r="R38" s="226" t="n"/>
      <c r="S38" s="226" t="n"/>
      <c r="T38" s="226" t="n"/>
      <c r="U38" s="226" t="n"/>
      <c r="V38" s="419" t="n"/>
      <c r="W38" s="419" t="n"/>
      <c r="X38" s="419" t="n"/>
    </row>
    <row r="39">
      <c r="A39" s="4" t="n"/>
      <c r="B39" s="4" t="n"/>
      <c r="C39" s="4" t="n"/>
      <c r="D39" s="4" t="n"/>
      <c r="E39" s="4" t="n"/>
      <c r="F39" s="419" t="n"/>
      <c r="G39" s="440" t="n"/>
      <c r="H39" s="226" t="n"/>
      <c r="I39" s="226" t="n"/>
      <c r="J39" s="226" t="n"/>
      <c r="K39" s="226" t="n"/>
      <c r="L39" s="226" t="n"/>
      <c r="M39" s="226" t="n"/>
      <c r="N39" s="226" t="n"/>
      <c r="O39" s="419" t="n"/>
      <c r="P39" s="226" t="n"/>
      <c r="Q39" s="226" t="n"/>
      <c r="R39" s="226" t="n"/>
      <c r="S39" s="226" t="n"/>
      <c r="T39" s="226" t="n"/>
      <c r="U39" s="226" t="n"/>
      <c r="V39" s="419" t="n"/>
      <c r="W39" s="419" t="n"/>
      <c r="X39" s="419" t="n"/>
    </row>
    <row r="40">
      <c r="A40" s="4" t="n"/>
      <c r="B40" s="4" t="n"/>
      <c r="C40" s="4" t="n"/>
      <c r="D40" s="4" t="n"/>
      <c r="E40" s="4" t="n"/>
      <c r="F40" s="419" t="n"/>
      <c r="G40" s="440" t="n"/>
      <c r="H40" s="226" t="n"/>
      <c r="I40" s="226" t="n"/>
      <c r="J40" s="226" t="n"/>
      <c r="K40" s="226" t="n"/>
      <c r="L40" s="226" t="n"/>
      <c r="M40" s="226" t="n"/>
      <c r="N40" s="226" t="n"/>
      <c r="O40" s="419" t="n"/>
      <c r="P40" s="226" t="n"/>
      <c r="Q40" s="226" t="n"/>
      <c r="R40" s="226" t="n"/>
      <c r="S40" s="226" t="n"/>
      <c r="T40" s="226" t="n"/>
      <c r="U40" s="226" t="n"/>
      <c r="V40" s="419" t="n"/>
      <c r="W40" s="419" t="n"/>
      <c r="X40" s="419" t="n"/>
    </row>
    <row r="41">
      <c r="A41" s="4" t="n"/>
      <c r="B41" s="4" t="n"/>
      <c r="C41" s="4" t="n"/>
      <c r="D41" s="4" t="n"/>
      <c r="E41" s="4" t="n"/>
      <c r="F41" s="419" t="n"/>
      <c r="G41" s="440" t="n"/>
      <c r="H41" s="226" t="n"/>
      <c r="I41" s="226" t="n"/>
      <c r="J41" s="226" t="n"/>
      <c r="K41" s="226" t="n"/>
      <c r="L41" s="226" t="n"/>
      <c r="M41" s="226" t="n"/>
      <c r="N41" s="226" t="n"/>
      <c r="O41" s="419" t="n"/>
      <c r="P41" s="226" t="n"/>
      <c r="Q41" s="226" t="n"/>
      <c r="R41" s="226" t="n"/>
      <c r="S41" s="226" t="n"/>
      <c r="T41" s="226" t="n"/>
      <c r="U41" s="226" t="n"/>
      <c r="V41" s="419" t="n"/>
      <c r="W41" s="419" t="n"/>
      <c r="X41" s="419" t="n"/>
    </row>
    <row r="42">
      <c r="A42" s="4" t="n"/>
      <c r="B42" s="4" t="n"/>
      <c r="C42" s="4" t="n"/>
      <c r="D42" s="4" t="n"/>
      <c r="E42" s="4" t="n"/>
      <c r="F42" s="419" t="n"/>
      <c r="G42" s="440" t="n"/>
      <c r="H42" s="226" t="n"/>
      <c r="I42" s="226" t="n"/>
      <c r="J42" s="226" t="n"/>
      <c r="K42" s="226" t="n"/>
      <c r="L42" s="226" t="n"/>
      <c r="M42" s="226" t="n"/>
      <c r="N42" s="226" t="n"/>
      <c r="O42" s="419" t="n"/>
      <c r="P42" s="226" t="n"/>
      <c r="Q42" s="226" t="n"/>
      <c r="R42" s="226" t="n"/>
      <c r="S42" s="226" t="n"/>
      <c r="T42" s="226" t="n"/>
      <c r="U42" s="226" t="n"/>
      <c r="V42" s="419" t="n"/>
      <c r="W42" s="419" t="n"/>
      <c r="X42" s="419" t="n"/>
    </row>
    <row r="43">
      <c r="A43" s="4" t="n"/>
      <c r="B43" s="4" t="n"/>
      <c r="C43" s="4" t="n"/>
      <c r="D43" s="4" t="n"/>
      <c r="E43" s="4" t="n"/>
      <c r="F43" s="419" t="n"/>
      <c r="G43" s="440" t="n"/>
      <c r="H43" s="226" t="n"/>
      <c r="I43" s="226" t="n"/>
      <c r="J43" s="226" t="n"/>
      <c r="K43" s="226" t="n"/>
      <c r="L43" s="226" t="n"/>
      <c r="M43" s="226" t="n"/>
      <c r="N43" s="226" t="n"/>
      <c r="O43" s="419" t="n"/>
      <c r="P43" s="226" t="n"/>
      <c r="Q43" s="226" t="n"/>
      <c r="R43" s="226" t="n"/>
      <c r="S43" s="226" t="n"/>
      <c r="T43" s="226" t="n"/>
      <c r="U43" s="226" t="n"/>
      <c r="V43" s="419" t="n"/>
      <c r="W43" s="419" t="n"/>
      <c r="X43" s="419" t="n"/>
    </row>
    <row r="44">
      <c r="A44" s="4" t="n"/>
      <c r="B44" s="4" t="n"/>
      <c r="C44" s="4" t="n"/>
      <c r="D44" s="4" t="n"/>
      <c r="E44" s="4" t="n"/>
      <c r="F44" s="419" t="n"/>
      <c r="G44" s="440" t="n"/>
      <c r="H44" s="226" t="n"/>
      <c r="I44" s="226" t="n"/>
      <c r="J44" s="226" t="n"/>
      <c r="K44" s="226" t="n"/>
      <c r="L44" s="226" t="n"/>
      <c r="M44" s="226" t="n"/>
      <c r="N44" s="226" t="n"/>
      <c r="O44" s="419" t="n"/>
      <c r="P44" s="226" t="n"/>
      <c r="Q44" s="226" t="n"/>
      <c r="R44" s="226" t="n"/>
      <c r="S44" s="226" t="n"/>
      <c r="T44" s="226" t="n"/>
      <c r="U44" s="226" t="n"/>
      <c r="V44" s="419" t="n"/>
      <c r="W44" s="419" t="n"/>
      <c r="X44" s="419" t="n"/>
    </row>
    <row r="45">
      <c r="A45" s="4" t="n"/>
      <c r="B45" s="4" t="n"/>
      <c r="C45" s="4" t="n"/>
      <c r="D45" s="4" t="n"/>
      <c r="E45" s="4" t="n"/>
      <c r="F45" s="419" t="n"/>
      <c r="G45" s="440" t="n"/>
      <c r="H45" s="226" t="n"/>
      <c r="I45" s="226" t="n"/>
      <c r="J45" s="226" t="n"/>
      <c r="K45" s="226" t="n"/>
      <c r="L45" s="226" t="n"/>
      <c r="M45" s="226" t="n"/>
      <c r="N45" s="226" t="n"/>
      <c r="O45" s="419" t="n"/>
      <c r="P45" s="226" t="n"/>
      <c r="Q45" s="226" t="n"/>
      <c r="R45" s="226" t="n"/>
      <c r="S45" s="226" t="n"/>
      <c r="T45" s="226" t="n"/>
      <c r="U45" s="226" t="n"/>
      <c r="V45" s="419" t="n"/>
      <c r="W45" s="419" t="n"/>
      <c r="X45" s="419" t="n"/>
    </row>
    <row r="46">
      <c r="A46" s="4" t="n"/>
      <c r="B46" s="4" t="n"/>
      <c r="C46" s="4" t="n"/>
      <c r="D46" s="4" t="n"/>
      <c r="E46" s="4" t="n"/>
      <c r="F46" s="419" t="n"/>
      <c r="G46" s="440" t="n"/>
      <c r="H46" s="226" t="n"/>
      <c r="I46" s="226" t="n"/>
      <c r="J46" s="226" t="n"/>
      <c r="K46" s="226" t="n"/>
      <c r="L46" s="226" t="n"/>
      <c r="M46" s="226" t="n"/>
      <c r="N46" s="226" t="n"/>
      <c r="O46" s="419" t="n"/>
      <c r="P46" s="226" t="n"/>
      <c r="Q46" s="226" t="n"/>
      <c r="R46" s="226" t="n"/>
      <c r="S46" s="226" t="n"/>
      <c r="T46" s="226" t="n"/>
      <c r="U46" s="226" t="n"/>
      <c r="V46" s="419" t="n"/>
      <c r="W46" s="419" t="n"/>
      <c r="X46" s="419" t="n"/>
    </row>
    <row r="47">
      <c r="A47" s="4" t="n"/>
      <c r="B47" s="4" t="n"/>
      <c r="C47" s="4" t="n"/>
      <c r="D47" s="4" t="n"/>
      <c r="E47" s="4" t="n"/>
      <c r="F47" s="419" t="n"/>
      <c r="G47" s="440" t="n"/>
      <c r="H47" s="226" t="n"/>
      <c r="I47" s="226" t="n"/>
      <c r="J47" s="226" t="n"/>
      <c r="K47" s="226" t="n"/>
      <c r="L47" s="226" t="n"/>
      <c r="M47" s="226" t="n"/>
      <c r="N47" s="226" t="n"/>
      <c r="O47" s="419" t="n"/>
      <c r="P47" s="226" t="n"/>
      <c r="Q47" s="226" t="n"/>
      <c r="R47" s="226" t="n"/>
      <c r="S47" s="226" t="n"/>
      <c r="T47" s="226" t="n"/>
      <c r="U47" s="226" t="n"/>
      <c r="V47" s="419" t="n"/>
      <c r="W47" s="419" t="n"/>
      <c r="X47" s="419" t="n"/>
    </row>
    <row r="48">
      <c r="A48" s="4" t="n"/>
      <c r="B48" s="4" t="n"/>
      <c r="C48" s="4" t="n"/>
      <c r="D48" s="4" t="n"/>
      <c r="E48" s="4" t="n"/>
      <c r="F48" s="419" t="n"/>
      <c r="G48" s="440" t="n"/>
      <c r="H48" s="226" t="n"/>
      <c r="I48" s="226" t="n"/>
      <c r="J48" s="226" t="n"/>
      <c r="K48" s="226" t="n"/>
      <c r="L48" s="226" t="n"/>
      <c r="M48" s="226" t="n"/>
      <c r="N48" s="226" t="n"/>
      <c r="O48" s="419" t="n"/>
      <c r="P48" s="226" t="n"/>
      <c r="Q48" s="226" t="n"/>
      <c r="R48" s="226" t="n"/>
      <c r="S48" s="226" t="n"/>
      <c r="T48" s="226" t="n"/>
      <c r="U48" s="226" t="n"/>
      <c r="V48" s="419" t="n"/>
      <c r="W48" s="419" t="n"/>
      <c r="X48" s="419" t="n"/>
    </row>
    <row r="49">
      <c r="A49" s="4" t="n"/>
      <c r="B49" s="4" t="n"/>
      <c r="C49" s="4" t="n"/>
      <c r="D49" s="4" t="n"/>
      <c r="E49" s="4" t="n"/>
      <c r="F49" s="419" t="n"/>
      <c r="G49" s="440" t="n"/>
      <c r="H49" s="226" t="n"/>
      <c r="I49" s="226" t="n"/>
      <c r="J49" s="226" t="n"/>
      <c r="K49" s="226" t="n"/>
      <c r="L49" s="226" t="n"/>
      <c r="M49" s="226" t="n"/>
      <c r="N49" s="226" t="n"/>
      <c r="O49" s="419" t="n"/>
      <c r="P49" s="226" t="n"/>
      <c r="Q49" s="226" t="n"/>
      <c r="R49" s="226" t="n"/>
      <c r="S49" s="226" t="n"/>
      <c r="T49" s="226" t="n"/>
      <c r="U49" s="226" t="n"/>
      <c r="V49" s="419" t="n"/>
      <c r="W49" s="419" t="n"/>
      <c r="X49" s="419" t="n"/>
    </row>
    <row r="50">
      <c r="A50" s="4" t="n"/>
      <c r="B50" s="4" t="n"/>
      <c r="C50" s="4" t="n"/>
      <c r="D50" s="4" t="n"/>
      <c r="E50" s="4" t="n"/>
      <c r="F50" s="419" t="n"/>
      <c r="G50" s="440" t="n"/>
      <c r="H50" s="226" t="n"/>
      <c r="I50" s="226" t="n"/>
      <c r="J50" s="226" t="n"/>
      <c r="K50" s="226" t="n"/>
      <c r="L50" s="226" t="n"/>
      <c r="M50" s="226" t="n"/>
      <c r="N50" s="226" t="n"/>
      <c r="O50" s="419" t="n"/>
      <c r="P50" s="226" t="n"/>
      <c r="Q50" s="226" t="n"/>
      <c r="R50" s="226" t="n"/>
      <c r="S50" s="226" t="n"/>
      <c r="T50" s="226" t="n"/>
      <c r="U50" s="226" t="n"/>
      <c r="V50" s="419" t="n"/>
      <c r="W50" s="419" t="n"/>
      <c r="X50" s="419" t="n"/>
    </row>
    <row r="51">
      <c r="A51" s="4" t="n"/>
      <c r="B51" s="4" t="n"/>
      <c r="C51" s="4" t="n"/>
      <c r="D51" s="4" t="n"/>
      <c r="E51" s="4" t="n"/>
      <c r="F51" s="419" t="n"/>
      <c r="G51" s="440" t="n"/>
      <c r="H51" s="226" t="n"/>
      <c r="I51" s="226" t="n"/>
      <c r="J51" s="226" t="n"/>
      <c r="K51" s="226" t="n"/>
      <c r="L51" s="226" t="n"/>
      <c r="M51" s="226" t="n"/>
      <c r="N51" s="226" t="n"/>
      <c r="O51" s="419" t="n"/>
      <c r="P51" s="226" t="n"/>
      <c r="Q51" s="226" t="n"/>
      <c r="R51" s="226" t="n"/>
      <c r="S51" s="226" t="n"/>
      <c r="T51" s="226" t="n"/>
      <c r="U51" s="226" t="n"/>
      <c r="V51" s="419" t="n"/>
      <c r="W51" s="419" t="n"/>
      <c r="X51" s="419" t="n"/>
    </row>
    <row r="52">
      <c r="A52" s="4" t="n"/>
      <c r="B52" s="4" t="n"/>
      <c r="C52" s="4" t="n"/>
      <c r="D52" s="4" t="n"/>
      <c r="E52" s="4" t="n"/>
      <c r="F52" s="419" t="n"/>
      <c r="G52" s="440" t="n"/>
      <c r="H52" s="226" t="n"/>
      <c r="I52" s="226" t="n"/>
      <c r="J52" s="226" t="n"/>
      <c r="K52" s="226" t="n"/>
      <c r="L52" s="226" t="n"/>
      <c r="M52" s="226" t="n"/>
      <c r="N52" s="226" t="n"/>
      <c r="O52" s="419" t="n"/>
      <c r="P52" s="226" t="n"/>
      <c r="Q52" s="226" t="n"/>
      <c r="R52" s="226" t="n"/>
      <c r="S52" s="226" t="n"/>
      <c r="T52" s="226" t="n"/>
      <c r="U52" s="226" t="n"/>
      <c r="V52" s="419" t="n"/>
      <c r="W52" s="419" t="n"/>
      <c r="X52" s="419" t="n"/>
    </row>
    <row r="53">
      <c r="A53" s="4" t="n"/>
      <c r="B53" s="4" t="n"/>
      <c r="C53" s="4" t="n"/>
      <c r="D53" s="4" t="n"/>
      <c r="E53" s="4" t="n"/>
      <c r="F53" s="419" t="n"/>
      <c r="G53" s="440" t="n"/>
      <c r="H53" s="226" t="n"/>
      <c r="I53" s="226" t="n"/>
      <c r="J53" s="226" t="n"/>
      <c r="K53" s="226" t="n"/>
      <c r="L53" s="226" t="n"/>
      <c r="M53" s="226" t="n"/>
      <c r="N53" s="226" t="n"/>
      <c r="O53" s="419" t="n"/>
      <c r="P53" s="226" t="n"/>
      <c r="Q53" s="226" t="n"/>
      <c r="R53" s="226" t="n"/>
      <c r="S53" s="226" t="n"/>
      <c r="T53" s="226" t="n"/>
      <c r="U53" s="226" t="n"/>
      <c r="V53" s="419" t="n"/>
      <c r="W53" s="419" t="n"/>
      <c r="X53" s="419" t="n"/>
    </row>
    <row r="54">
      <c r="A54" s="4" t="n"/>
      <c r="B54" s="4" t="n"/>
      <c r="C54" s="4" t="n"/>
      <c r="D54" s="4" t="n"/>
      <c r="E54" s="4" t="n"/>
      <c r="F54" s="419" t="n"/>
      <c r="G54" s="440" t="n"/>
      <c r="H54" s="226" t="n"/>
      <c r="I54" s="226" t="n"/>
      <c r="J54" s="226" t="n"/>
      <c r="K54" s="226" t="n"/>
      <c r="L54" s="226" t="n"/>
      <c r="M54" s="226" t="n"/>
      <c r="N54" s="226" t="n"/>
      <c r="O54" s="419" t="n"/>
      <c r="P54" s="226" t="n"/>
      <c r="Q54" s="226" t="n"/>
      <c r="R54" s="226" t="n"/>
      <c r="S54" s="226" t="n"/>
      <c r="T54" s="226" t="n"/>
      <c r="U54" s="226" t="n"/>
      <c r="V54" s="419" t="n"/>
      <c r="W54" s="419" t="n"/>
      <c r="X54" s="419" t="n"/>
    </row>
    <row r="55">
      <c r="A55" s="4" t="n"/>
      <c r="B55" s="4" t="n"/>
      <c r="C55" s="4" t="n"/>
      <c r="D55" s="4" t="n"/>
      <c r="E55" s="4" t="n"/>
      <c r="F55" s="419" t="n"/>
      <c r="G55" s="440" t="n"/>
      <c r="H55" s="226" t="n"/>
      <c r="I55" s="226" t="n"/>
      <c r="J55" s="226" t="n"/>
      <c r="K55" s="226" t="n"/>
      <c r="L55" s="226" t="n"/>
      <c r="M55" s="226" t="n"/>
      <c r="N55" s="226" t="n"/>
      <c r="O55" s="419" t="n"/>
      <c r="P55" s="226" t="n"/>
      <c r="Q55" s="226" t="n"/>
      <c r="R55" s="226" t="n"/>
      <c r="S55" s="226" t="n"/>
      <c r="T55" s="226" t="n"/>
      <c r="U55" s="226" t="n"/>
      <c r="V55" s="419" t="n"/>
      <c r="W55" s="419" t="n"/>
      <c r="X55" s="419" t="n"/>
    </row>
    <row r="56">
      <c r="A56" s="4" t="n"/>
      <c r="B56" s="4" t="n"/>
      <c r="C56" s="4" t="n"/>
      <c r="D56" s="4" t="n"/>
      <c r="E56" s="4" t="n"/>
      <c r="F56" s="419" t="n"/>
      <c r="G56" s="440" t="n"/>
      <c r="H56" s="226" t="n"/>
      <c r="I56" s="226" t="n"/>
      <c r="J56" s="226" t="n"/>
      <c r="K56" s="226" t="n"/>
      <c r="L56" s="226" t="n"/>
      <c r="M56" s="226" t="n"/>
      <c r="N56" s="226" t="n"/>
      <c r="O56" s="419" t="n"/>
      <c r="P56" s="226" t="n"/>
      <c r="Q56" s="226" t="n"/>
      <c r="R56" s="226" t="n"/>
      <c r="S56" s="226" t="n"/>
      <c r="T56" s="226" t="n"/>
      <c r="U56" s="226" t="n"/>
      <c r="V56" s="419" t="n"/>
      <c r="W56" s="419" t="n"/>
      <c r="X56" s="419" t="n"/>
    </row>
    <row r="57">
      <c r="A57" s="4" t="n"/>
      <c r="B57" s="4" t="n"/>
      <c r="C57" s="4" t="n"/>
      <c r="D57" s="4" t="n"/>
      <c r="E57" s="4" t="n"/>
      <c r="F57" s="419" t="n"/>
      <c r="G57" s="440" t="n"/>
      <c r="H57" s="226" t="n"/>
      <c r="I57" s="226" t="n"/>
      <c r="J57" s="226" t="n"/>
      <c r="K57" s="226" t="n"/>
      <c r="L57" s="226" t="n"/>
      <c r="M57" s="226" t="n"/>
      <c r="N57" s="226" t="n"/>
      <c r="O57" s="419" t="n"/>
      <c r="P57" s="226" t="n"/>
      <c r="Q57" s="226" t="n"/>
      <c r="R57" s="226" t="n"/>
      <c r="S57" s="226" t="n"/>
      <c r="T57" s="226" t="n"/>
      <c r="U57" s="226" t="n"/>
      <c r="V57" s="419" t="n"/>
      <c r="W57" s="419" t="n"/>
      <c r="X57" s="419" t="n"/>
    </row>
    <row r="58">
      <c r="A58" s="4" t="n"/>
      <c r="B58" s="4" t="n"/>
      <c r="C58" s="4" t="n"/>
      <c r="D58" s="4" t="n"/>
      <c r="E58" s="4" t="n"/>
      <c r="F58" s="419" t="n"/>
      <c r="G58" s="440" t="n"/>
      <c r="H58" s="226" t="n"/>
      <c r="I58" s="226" t="n"/>
      <c r="J58" s="226" t="n"/>
      <c r="K58" s="226" t="n"/>
      <c r="L58" s="226" t="n"/>
      <c r="M58" s="226" t="n"/>
      <c r="N58" s="226" t="n"/>
      <c r="O58" s="419" t="n"/>
      <c r="P58" s="226" t="n"/>
      <c r="Q58" s="226" t="n"/>
      <c r="R58" s="226" t="n"/>
      <c r="S58" s="226" t="n"/>
      <c r="T58" s="226" t="n"/>
      <c r="U58" s="226" t="n"/>
      <c r="V58" s="419" t="n"/>
      <c r="W58" s="419" t="n"/>
      <c r="X58" s="419" t="n"/>
    </row>
    <row r="59">
      <c r="A59" s="4" t="n"/>
      <c r="B59" s="4" t="n"/>
      <c r="C59" s="4" t="n"/>
      <c r="D59" s="4" t="n"/>
      <c r="E59" s="4" t="n"/>
      <c r="F59" s="419" t="n"/>
      <c r="G59" s="440" t="n"/>
      <c r="H59" s="226" t="n"/>
      <c r="I59" s="226" t="n"/>
      <c r="J59" s="226" t="n"/>
      <c r="K59" s="226" t="n"/>
      <c r="L59" s="226" t="n"/>
      <c r="M59" s="226" t="n"/>
      <c r="N59" s="226" t="n"/>
      <c r="O59" s="419" t="n"/>
      <c r="P59" s="226" t="n"/>
      <c r="Q59" s="226" t="n"/>
      <c r="R59" s="226" t="n"/>
      <c r="S59" s="226" t="n"/>
      <c r="T59" s="226" t="n"/>
      <c r="U59" s="226" t="n"/>
      <c r="V59" s="419" t="n"/>
      <c r="W59" s="419" t="n"/>
      <c r="X59" s="419" t="n"/>
    </row>
    <row r="60">
      <c r="A60" s="4" t="n"/>
      <c r="B60" s="4" t="n"/>
      <c r="C60" s="4" t="n"/>
      <c r="D60" s="4" t="n"/>
      <c r="E60" s="4" t="n"/>
      <c r="F60" s="419" t="n"/>
      <c r="G60" s="440" t="n"/>
      <c r="H60" s="226" t="n"/>
      <c r="I60" s="226" t="n"/>
      <c r="J60" s="226" t="n"/>
      <c r="K60" s="226" t="n"/>
      <c r="L60" s="226" t="n"/>
      <c r="M60" s="226" t="n"/>
      <c r="N60" s="226" t="n"/>
      <c r="O60" s="419" t="n"/>
      <c r="P60" s="226" t="n"/>
      <c r="Q60" s="226" t="n"/>
      <c r="R60" s="226" t="n"/>
      <c r="S60" s="226" t="n"/>
      <c r="T60" s="226" t="n"/>
      <c r="U60" s="226" t="n"/>
      <c r="V60" s="419" t="n"/>
      <c r="W60" s="419" t="n"/>
      <c r="X60" s="419" t="n"/>
    </row>
    <row r="61">
      <c r="A61" s="4" t="n"/>
      <c r="B61" s="4" t="n"/>
      <c r="C61" s="4" t="n"/>
      <c r="D61" s="4" t="n"/>
      <c r="E61" s="4" t="n"/>
      <c r="F61" s="419" t="n"/>
      <c r="G61" s="440" t="n"/>
      <c r="H61" s="226" t="n"/>
      <c r="I61" s="226" t="n"/>
      <c r="J61" s="226" t="n"/>
      <c r="K61" s="226" t="n"/>
      <c r="L61" s="226" t="n"/>
      <c r="M61" s="226" t="n"/>
      <c r="N61" s="226" t="n"/>
      <c r="O61" s="419" t="n"/>
      <c r="P61" s="226" t="n"/>
      <c r="Q61" s="226" t="n"/>
      <c r="R61" s="226" t="n"/>
      <c r="S61" s="226" t="n"/>
      <c r="T61" s="226" t="n"/>
      <c r="U61" s="226" t="n"/>
      <c r="V61" s="419" t="n"/>
      <c r="W61" s="419" t="n"/>
      <c r="X61" s="419" t="n"/>
    </row>
    <row r="62">
      <c r="A62" s="4" t="n"/>
      <c r="B62" s="4" t="n"/>
      <c r="C62" s="4" t="n"/>
      <c r="D62" s="4" t="n"/>
      <c r="E62" s="4" t="n"/>
      <c r="F62" s="419" t="n"/>
      <c r="G62" s="440" t="n"/>
      <c r="H62" s="226" t="n"/>
      <c r="I62" s="226" t="n"/>
      <c r="J62" s="226" t="n"/>
      <c r="K62" s="226" t="n"/>
      <c r="L62" s="226" t="n"/>
      <c r="M62" s="226" t="n"/>
      <c r="N62" s="226" t="n"/>
      <c r="O62" s="419" t="n"/>
      <c r="P62" s="226" t="n"/>
      <c r="Q62" s="226" t="n"/>
      <c r="R62" s="226" t="n"/>
      <c r="S62" s="226" t="n"/>
      <c r="T62" s="226" t="n"/>
      <c r="U62" s="226" t="n"/>
      <c r="V62" s="419" t="n"/>
      <c r="W62" s="419" t="n"/>
      <c r="X62" s="419" t="n"/>
    </row>
    <row r="63">
      <c r="A63" s="4" t="n"/>
      <c r="B63" s="4" t="n"/>
      <c r="C63" s="4" t="n"/>
      <c r="D63" s="4" t="n"/>
      <c r="E63" s="4" t="n"/>
      <c r="F63" s="419" t="n"/>
      <c r="G63" s="440" t="n"/>
      <c r="H63" s="226" t="n"/>
      <c r="I63" s="226" t="n"/>
      <c r="J63" s="226" t="n"/>
      <c r="K63" s="226" t="n"/>
      <c r="L63" s="226" t="n"/>
      <c r="M63" s="226" t="n"/>
      <c r="N63" s="226" t="n"/>
      <c r="O63" s="419" t="n"/>
      <c r="P63" s="226" t="n"/>
      <c r="Q63" s="226" t="n"/>
      <c r="R63" s="226" t="n"/>
      <c r="S63" s="226" t="n"/>
      <c r="T63" s="226" t="n"/>
      <c r="U63" s="226" t="n"/>
      <c r="V63" s="419" t="n"/>
      <c r="W63" s="419" t="n"/>
      <c r="X63" s="419" t="n"/>
    </row>
    <row r="64">
      <c r="A64" s="4" t="n"/>
      <c r="B64" s="4" t="n"/>
      <c r="C64" s="4" t="n"/>
      <c r="D64" s="4" t="n"/>
      <c r="E64" s="4" t="n"/>
      <c r="F64" s="419" t="n"/>
      <c r="G64" s="440" t="n"/>
      <c r="H64" s="226" t="n"/>
      <c r="I64" s="226" t="n"/>
      <c r="J64" s="226" t="n"/>
      <c r="K64" s="226" t="n"/>
      <c r="L64" s="226" t="n"/>
      <c r="M64" s="226" t="n"/>
      <c r="N64" s="226" t="n"/>
      <c r="O64" s="419" t="n"/>
      <c r="P64" s="226" t="n"/>
      <c r="Q64" s="226" t="n"/>
      <c r="R64" s="226" t="n"/>
      <c r="S64" s="226" t="n"/>
      <c r="T64" s="226" t="n"/>
      <c r="U64" s="226" t="n"/>
      <c r="V64" s="419" t="n"/>
      <c r="W64" s="419" t="n"/>
      <c r="X64" s="419" t="n"/>
    </row>
    <row r="65">
      <c r="A65" s="4" t="n"/>
      <c r="B65" s="4" t="n"/>
      <c r="C65" s="4" t="n"/>
      <c r="D65" s="4" t="n"/>
      <c r="E65" s="4" t="n"/>
      <c r="F65" s="419" t="n"/>
      <c r="G65" s="440" t="n"/>
      <c r="H65" s="226" t="n"/>
      <c r="I65" s="226" t="n"/>
      <c r="J65" s="226" t="n"/>
      <c r="K65" s="226" t="n"/>
      <c r="L65" s="226" t="n"/>
      <c r="M65" s="226" t="n"/>
      <c r="N65" s="226" t="n"/>
      <c r="O65" s="419" t="n"/>
      <c r="P65" s="226" t="n"/>
      <c r="Q65" s="226" t="n"/>
      <c r="R65" s="226" t="n"/>
      <c r="S65" s="226" t="n"/>
      <c r="T65" s="226" t="n"/>
      <c r="U65" s="226" t="n"/>
      <c r="V65" s="419" t="n"/>
      <c r="W65" s="419" t="n"/>
      <c r="X65" s="419" t="n"/>
    </row>
    <row r="66">
      <c r="A66" s="4" t="n"/>
      <c r="B66" s="4" t="n"/>
      <c r="C66" s="4" t="n"/>
      <c r="D66" s="4" t="n"/>
      <c r="E66" s="4" t="n"/>
      <c r="F66" s="419" t="n"/>
      <c r="G66" s="440" t="n"/>
      <c r="H66" s="226" t="n"/>
      <c r="I66" s="226" t="n"/>
      <c r="J66" s="226" t="n"/>
      <c r="K66" s="226" t="n"/>
      <c r="L66" s="226" t="n"/>
      <c r="M66" s="226" t="n"/>
      <c r="N66" s="226" t="n"/>
      <c r="O66" s="419" t="n"/>
      <c r="P66" s="226" t="n"/>
      <c r="Q66" s="226" t="n"/>
      <c r="R66" s="226" t="n"/>
      <c r="S66" s="226" t="n"/>
      <c r="T66" s="226" t="n"/>
      <c r="U66" s="226" t="n"/>
      <c r="V66" s="419" t="n"/>
      <c r="W66" s="419" t="n"/>
      <c r="X66" s="419" t="n"/>
    </row>
    <row r="67">
      <c r="A67" s="4" t="n"/>
      <c r="B67" s="4" t="n"/>
      <c r="C67" s="4" t="n"/>
      <c r="D67" s="4" t="n"/>
      <c r="E67" s="4" t="n"/>
      <c r="F67" s="419" t="n"/>
      <c r="G67" s="440" t="n"/>
      <c r="H67" s="226" t="n"/>
      <c r="I67" s="226" t="n"/>
      <c r="J67" s="226" t="n"/>
      <c r="K67" s="226" t="n"/>
      <c r="L67" s="226" t="n"/>
      <c r="M67" s="226" t="n"/>
      <c r="N67" s="226" t="n"/>
      <c r="O67" s="419" t="n"/>
      <c r="P67" s="226" t="n"/>
      <c r="Q67" s="226" t="n"/>
      <c r="R67" s="226" t="n"/>
      <c r="S67" s="226" t="n"/>
      <c r="T67" s="226" t="n"/>
      <c r="U67" s="226" t="n"/>
      <c r="V67" s="419" t="n"/>
      <c r="W67" s="419" t="n"/>
      <c r="X67" s="419" t="n"/>
    </row>
    <row r="68">
      <c r="A68" s="4" t="n"/>
      <c r="B68" s="4" t="n"/>
      <c r="C68" s="4" t="n"/>
      <c r="D68" s="4" t="n"/>
      <c r="E68" s="4" t="n"/>
      <c r="F68" s="419" t="n"/>
      <c r="G68" s="440" t="n"/>
      <c r="H68" s="226" t="n"/>
      <c r="I68" s="226" t="n"/>
      <c r="J68" s="226" t="n"/>
      <c r="K68" s="226" t="n"/>
      <c r="L68" s="226" t="n"/>
      <c r="M68" s="226" t="n"/>
      <c r="N68" s="226" t="n"/>
      <c r="O68" s="419" t="n"/>
      <c r="P68" s="226" t="n"/>
      <c r="Q68" s="226" t="n"/>
      <c r="R68" s="226" t="n"/>
      <c r="S68" s="226" t="n"/>
      <c r="T68" s="226" t="n"/>
      <c r="U68" s="226" t="n"/>
      <c r="V68" s="419" t="n"/>
      <c r="W68" s="419" t="n"/>
      <c r="X68" s="419" t="n"/>
    </row>
    <row r="69">
      <c r="A69" s="4" t="n"/>
      <c r="B69" s="4" t="n"/>
      <c r="C69" s="4" t="n"/>
      <c r="D69" s="4" t="n"/>
      <c r="E69" s="4" t="n"/>
      <c r="F69" s="419" t="n"/>
      <c r="G69" s="440" t="n"/>
      <c r="H69" s="226" t="n"/>
      <c r="I69" s="226" t="n"/>
      <c r="J69" s="226" t="n"/>
      <c r="K69" s="226" t="n"/>
      <c r="L69" s="226" t="n"/>
      <c r="M69" s="226" t="n"/>
      <c r="N69" s="226" t="n"/>
      <c r="O69" s="419" t="n"/>
      <c r="P69" s="226" t="n"/>
      <c r="Q69" s="226" t="n"/>
      <c r="R69" s="226" t="n"/>
      <c r="S69" s="226" t="n"/>
      <c r="T69" s="226" t="n"/>
      <c r="U69" s="226" t="n"/>
      <c r="V69" s="419" t="n"/>
      <c r="W69" s="419" t="n"/>
      <c r="X69" s="419" t="n"/>
    </row>
    <row r="70">
      <c r="A70" s="4" t="n"/>
      <c r="B70" s="4" t="n"/>
      <c r="C70" s="4" t="n"/>
      <c r="D70" s="4" t="n"/>
      <c r="E70" s="4" t="n"/>
      <c r="F70" s="419" t="n"/>
      <c r="G70" s="440" t="n"/>
      <c r="H70" s="226" t="n"/>
      <c r="I70" s="226" t="n"/>
      <c r="J70" s="226" t="n"/>
      <c r="K70" s="226" t="n"/>
      <c r="L70" s="226" t="n"/>
      <c r="M70" s="226" t="n"/>
      <c r="N70" s="226" t="n"/>
      <c r="O70" s="419" t="n"/>
      <c r="P70" s="226" t="n"/>
      <c r="Q70" s="226" t="n"/>
      <c r="R70" s="226" t="n"/>
      <c r="S70" s="226" t="n"/>
      <c r="T70" s="226" t="n"/>
      <c r="U70" s="226" t="n"/>
      <c r="V70" s="419" t="n"/>
      <c r="W70" s="419" t="n"/>
      <c r="X70" s="419" t="n"/>
    </row>
    <row r="71">
      <c r="A71" s="4" t="n"/>
      <c r="B71" s="4" t="n"/>
      <c r="C71" s="4" t="n"/>
      <c r="D71" s="4" t="n"/>
      <c r="E71" s="4" t="n"/>
      <c r="F71" s="419" t="n"/>
      <c r="G71" s="440" t="n"/>
      <c r="H71" s="226" t="n"/>
      <c r="I71" s="226" t="n"/>
      <c r="J71" s="226" t="n"/>
      <c r="K71" s="226" t="n"/>
      <c r="L71" s="226" t="n"/>
      <c r="M71" s="226" t="n"/>
      <c r="N71" s="226" t="n"/>
      <c r="O71" s="419" t="n"/>
      <c r="P71" s="226" t="n"/>
      <c r="Q71" s="226" t="n"/>
      <c r="R71" s="226" t="n"/>
      <c r="S71" s="226" t="n"/>
      <c r="T71" s="226" t="n"/>
      <c r="U71" s="226" t="n"/>
      <c r="V71" s="419" t="n"/>
      <c r="W71" s="419" t="n"/>
      <c r="X71" s="419" t="n"/>
    </row>
    <row r="72">
      <c r="A72" s="4" t="n"/>
      <c r="B72" s="4" t="n"/>
      <c r="C72" s="4" t="n"/>
      <c r="D72" s="4" t="n"/>
      <c r="E72" s="4" t="n"/>
      <c r="F72" s="419" t="n"/>
      <c r="G72" s="440" t="n"/>
      <c r="H72" s="226" t="n"/>
      <c r="I72" s="226" t="n"/>
      <c r="J72" s="226" t="n"/>
      <c r="K72" s="226" t="n"/>
      <c r="L72" s="226" t="n"/>
      <c r="M72" s="226" t="n"/>
      <c r="N72" s="226" t="n"/>
      <c r="O72" s="419" t="n"/>
      <c r="P72" s="226" t="n"/>
      <c r="Q72" s="226" t="n"/>
      <c r="R72" s="226" t="n"/>
      <c r="S72" s="226" t="n"/>
      <c r="T72" s="226" t="n"/>
      <c r="U72" s="226" t="n"/>
      <c r="V72" s="419" t="n"/>
      <c r="W72" s="419" t="n"/>
      <c r="X72" s="419" t="n"/>
    </row>
    <row r="73">
      <c r="A73" s="4" t="n"/>
      <c r="B73" s="4" t="n"/>
      <c r="C73" s="4" t="n"/>
      <c r="D73" s="4" t="n"/>
      <c r="E73" s="4" t="n"/>
      <c r="F73" s="419" t="n"/>
      <c r="G73" s="440" t="n"/>
      <c r="H73" s="226" t="n"/>
      <c r="I73" s="226" t="n"/>
      <c r="J73" s="226" t="n"/>
      <c r="K73" s="226" t="n"/>
      <c r="L73" s="226" t="n"/>
      <c r="M73" s="226" t="n"/>
      <c r="N73" s="226" t="n"/>
      <c r="O73" s="419" t="n"/>
      <c r="P73" s="226" t="n"/>
      <c r="Q73" s="226" t="n"/>
      <c r="R73" s="226" t="n"/>
      <c r="S73" s="226" t="n"/>
      <c r="T73" s="226" t="n"/>
      <c r="U73" s="226" t="n"/>
      <c r="V73" s="419" t="n"/>
      <c r="W73" s="419" t="n"/>
      <c r="X73" s="419" t="n"/>
    </row>
    <row r="74">
      <c r="A74" s="4" t="n"/>
      <c r="B74" s="4" t="n"/>
      <c r="C74" s="4" t="n"/>
      <c r="D74" s="4" t="n"/>
      <c r="E74" s="4" t="n"/>
      <c r="F74" s="419" t="n"/>
      <c r="G74" s="440" t="n"/>
      <c r="H74" s="226" t="n"/>
      <c r="I74" s="226" t="n"/>
      <c r="J74" s="226" t="n"/>
      <c r="K74" s="226" t="n"/>
      <c r="L74" s="226" t="n"/>
      <c r="M74" s="226" t="n"/>
      <c r="N74" s="226" t="n"/>
      <c r="O74" s="419" t="n"/>
      <c r="P74" s="226" t="n"/>
      <c r="Q74" s="226" t="n"/>
      <c r="R74" s="226" t="n"/>
      <c r="S74" s="226" t="n"/>
      <c r="T74" s="226" t="n"/>
      <c r="U74" s="226" t="n"/>
      <c r="V74" s="419" t="n"/>
      <c r="W74" s="419" t="n"/>
      <c r="X74" s="419" t="n"/>
    </row>
    <row r="75">
      <c r="A75" s="4" t="n"/>
      <c r="B75" s="4" t="n"/>
      <c r="C75" s="4" t="n"/>
      <c r="D75" s="4" t="n"/>
      <c r="E75" s="4" t="n"/>
      <c r="F75" s="419" t="n"/>
      <c r="G75" s="440" t="n"/>
      <c r="H75" s="226" t="n"/>
      <c r="I75" s="226" t="n"/>
      <c r="J75" s="226" t="n"/>
      <c r="K75" s="226" t="n"/>
      <c r="L75" s="226" t="n"/>
      <c r="M75" s="226" t="n"/>
      <c r="N75" s="226" t="n"/>
      <c r="O75" s="419" t="n"/>
      <c r="P75" s="226" t="n"/>
      <c r="Q75" s="226" t="n"/>
      <c r="R75" s="226" t="n"/>
      <c r="S75" s="226" t="n"/>
      <c r="T75" s="226" t="n"/>
      <c r="U75" s="226" t="n"/>
      <c r="V75" s="419" t="n"/>
      <c r="W75" s="419" t="n"/>
      <c r="X75" s="419" t="n"/>
    </row>
    <row r="76">
      <c r="A76" s="4" t="n"/>
      <c r="B76" s="4" t="n"/>
      <c r="C76" s="4" t="n"/>
      <c r="D76" s="4" t="n"/>
      <c r="E76" s="4" t="n"/>
      <c r="F76" s="419" t="n"/>
      <c r="G76" s="440" t="n"/>
      <c r="H76" s="226" t="n"/>
      <c r="I76" s="226" t="n"/>
      <c r="J76" s="226" t="n"/>
      <c r="K76" s="226" t="n"/>
      <c r="L76" s="226" t="n"/>
      <c r="M76" s="226" t="n"/>
      <c r="N76" s="226" t="n"/>
      <c r="O76" s="419" t="n"/>
      <c r="P76" s="226" t="n"/>
      <c r="Q76" s="226" t="n"/>
      <c r="R76" s="226" t="n"/>
      <c r="S76" s="226" t="n"/>
      <c r="T76" s="226" t="n"/>
      <c r="U76" s="226" t="n"/>
      <c r="V76" s="419" t="n"/>
      <c r="W76" s="419" t="n"/>
      <c r="X76" s="419" t="n"/>
    </row>
    <row r="77">
      <c r="A77" s="4" t="n"/>
      <c r="B77" s="4" t="n"/>
      <c r="C77" s="4" t="n"/>
      <c r="D77" s="4" t="n"/>
      <c r="E77" s="4" t="n"/>
      <c r="F77" s="419" t="n"/>
      <c r="G77" s="440" t="n"/>
      <c r="H77" s="226" t="n"/>
      <c r="I77" s="226" t="n"/>
      <c r="J77" s="226" t="n"/>
      <c r="K77" s="226" t="n"/>
      <c r="L77" s="226" t="n"/>
      <c r="M77" s="226" t="n"/>
      <c r="N77" s="226" t="n"/>
      <c r="O77" s="419" t="n"/>
      <c r="P77" s="226" t="n"/>
      <c r="Q77" s="226" t="n"/>
      <c r="R77" s="226" t="n"/>
      <c r="S77" s="226" t="n"/>
      <c r="T77" s="226" t="n"/>
      <c r="U77" s="226" t="n"/>
      <c r="V77" s="419" t="n"/>
      <c r="W77" s="419" t="n"/>
      <c r="X77" s="419" t="n"/>
    </row>
    <row r="78">
      <c r="A78" s="4" t="n"/>
      <c r="B78" s="4" t="n"/>
      <c r="C78" s="4" t="n"/>
      <c r="D78" s="4" t="n"/>
      <c r="E78" s="4" t="n"/>
      <c r="F78" s="419" t="n"/>
      <c r="G78" s="440" t="n"/>
      <c r="H78" s="226" t="n"/>
      <c r="I78" s="226" t="n"/>
      <c r="J78" s="226" t="n"/>
      <c r="K78" s="226" t="n"/>
      <c r="L78" s="226" t="n"/>
      <c r="M78" s="226" t="n"/>
      <c r="N78" s="226" t="n"/>
      <c r="O78" s="419" t="n"/>
      <c r="P78" s="226" t="n"/>
      <c r="Q78" s="226" t="n"/>
      <c r="R78" s="226" t="n"/>
      <c r="S78" s="226" t="n"/>
      <c r="T78" s="226" t="n"/>
      <c r="U78" s="226" t="n"/>
      <c r="V78" s="419" t="n"/>
      <c r="W78" s="419" t="n"/>
      <c r="X78" s="419" t="n"/>
    </row>
    <row r="79">
      <c r="A79" s="4" t="n"/>
      <c r="B79" s="4" t="n"/>
      <c r="C79" s="4" t="n"/>
      <c r="D79" s="4" t="n"/>
      <c r="E79" s="4" t="n"/>
      <c r="F79" s="419" t="n"/>
      <c r="G79" s="440" t="n"/>
      <c r="H79" s="226" t="n"/>
      <c r="I79" s="226" t="n"/>
      <c r="J79" s="226" t="n"/>
      <c r="K79" s="226" t="n"/>
      <c r="L79" s="226" t="n"/>
      <c r="M79" s="226" t="n"/>
      <c r="N79" s="226" t="n"/>
      <c r="O79" s="419" t="n"/>
      <c r="P79" s="226" t="n"/>
      <c r="Q79" s="226" t="n"/>
      <c r="R79" s="226" t="n"/>
      <c r="S79" s="226" t="n"/>
      <c r="T79" s="226" t="n"/>
      <c r="U79" s="226" t="n"/>
      <c r="V79" s="419" t="n"/>
      <c r="W79" s="419" t="n"/>
      <c r="X79" s="419" t="n"/>
    </row>
    <row r="80">
      <c r="A80" s="4" t="n"/>
      <c r="B80" s="4" t="n"/>
      <c r="C80" s="4" t="n"/>
      <c r="D80" s="4" t="n"/>
      <c r="E80" s="4" t="n"/>
      <c r="F80" s="419" t="n"/>
      <c r="G80" s="440" t="n"/>
      <c r="H80" s="226" t="n"/>
      <c r="I80" s="226" t="n"/>
      <c r="J80" s="226" t="n"/>
      <c r="K80" s="226" t="n"/>
      <c r="L80" s="226" t="n"/>
      <c r="M80" s="226" t="n"/>
      <c r="N80" s="226" t="n"/>
      <c r="O80" s="419" t="n"/>
      <c r="P80" s="226" t="n"/>
      <c r="Q80" s="226" t="n"/>
      <c r="R80" s="226" t="n"/>
      <c r="S80" s="226" t="n"/>
      <c r="T80" s="226" t="n"/>
      <c r="U80" s="226" t="n"/>
      <c r="V80" s="419" t="n"/>
      <c r="W80" s="419" t="n"/>
      <c r="X80" s="419" t="n"/>
    </row>
    <row r="81">
      <c r="A81" s="4" t="n"/>
      <c r="B81" s="4" t="n"/>
      <c r="C81" s="4" t="n"/>
      <c r="D81" s="4" t="n"/>
      <c r="E81" s="4" t="n"/>
      <c r="F81" s="419" t="n"/>
      <c r="G81" s="440" t="n"/>
      <c r="H81" s="226" t="n"/>
      <c r="I81" s="226" t="n"/>
      <c r="J81" s="226" t="n"/>
      <c r="K81" s="226" t="n"/>
      <c r="L81" s="226" t="n"/>
      <c r="M81" s="226" t="n"/>
      <c r="N81" s="226" t="n"/>
      <c r="O81" s="419" t="n"/>
      <c r="P81" s="226" t="n"/>
      <c r="Q81" s="226" t="n"/>
      <c r="R81" s="226" t="n"/>
      <c r="S81" s="226" t="n"/>
      <c r="T81" s="226" t="n"/>
      <c r="U81" s="226" t="n"/>
      <c r="V81" s="419" t="n"/>
      <c r="W81" s="419" t="n"/>
      <c r="X81" s="419" t="n"/>
    </row>
    <row r="82">
      <c r="A82" s="4" t="n"/>
      <c r="B82" s="4" t="n"/>
      <c r="C82" s="4" t="n"/>
      <c r="D82" s="4" t="n"/>
      <c r="E82" s="4" t="n"/>
      <c r="F82" s="419" t="n"/>
      <c r="G82" s="440" t="n"/>
      <c r="H82" s="226" t="n"/>
      <c r="I82" s="226" t="n"/>
      <c r="J82" s="226" t="n"/>
      <c r="K82" s="226" t="n"/>
      <c r="L82" s="226" t="n"/>
      <c r="M82" s="226" t="n"/>
      <c r="N82" s="226" t="n"/>
      <c r="O82" s="419" t="n"/>
      <c r="P82" s="226" t="n"/>
      <c r="Q82" s="226" t="n"/>
      <c r="R82" s="226" t="n"/>
      <c r="S82" s="226" t="n"/>
      <c r="T82" s="226" t="n"/>
      <c r="U82" s="226" t="n"/>
      <c r="V82" s="419" t="n"/>
      <c r="W82" s="419" t="n"/>
      <c r="X82" s="419" t="n"/>
    </row>
    <row r="83">
      <c r="A83" s="4" t="n"/>
      <c r="B83" s="4" t="n"/>
      <c r="C83" s="4" t="n"/>
      <c r="D83" s="4" t="n"/>
      <c r="E83" s="4" t="n"/>
      <c r="F83" s="419" t="n"/>
      <c r="G83" s="440" t="n"/>
      <c r="H83" s="226" t="n"/>
      <c r="I83" s="226" t="n"/>
      <c r="J83" s="226" t="n"/>
      <c r="K83" s="226" t="n"/>
      <c r="L83" s="226" t="n"/>
      <c r="M83" s="226" t="n"/>
      <c r="N83" s="226" t="n"/>
      <c r="O83" s="419" t="n"/>
      <c r="P83" s="226" t="n"/>
      <c r="Q83" s="226" t="n"/>
      <c r="R83" s="226" t="n"/>
      <c r="S83" s="226" t="n"/>
      <c r="T83" s="226" t="n"/>
      <c r="U83" s="226" t="n"/>
      <c r="V83" s="419" t="n"/>
      <c r="W83" s="419" t="n"/>
      <c r="X83" s="419" t="n"/>
    </row>
    <row r="84">
      <c r="A84" s="4" t="n"/>
      <c r="B84" s="4" t="n"/>
      <c r="C84" s="4" t="n"/>
      <c r="D84" s="4" t="n"/>
      <c r="E84" s="4" t="n"/>
      <c r="F84" s="419" t="n"/>
      <c r="G84" s="440" t="n"/>
      <c r="H84" s="226" t="n"/>
      <c r="I84" s="226" t="n"/>
      <c r="J84" s="226" t="n"/>
      <c r="K84" s="226" t="n"/>
      <c r="L84" s="226" t="n"/>
      <c r="M84" s="226" t="n"/>
      <c r="N84" s="226" t="n"/>
      <c r="O84" s="419" t="n"/>
      <c r="P84" s="226" t="n"/>
      <c r="Q84" s="226" t="n"/>
      <c r="R84" s="226" t="n"/>
      <c r="S84" s="226" t="n"/>
      <c r="T84" s="226" t="n"/>
      <c r="U84" s="226" t="n"/>
      <c r="V84" s="419" t="n"/>
      <c r="W84" s="419" t="n"/>
      <c r="X84" s="419" t="n"/>
    </row>
    <row r="85">
      <c r="A85" s="4" t="n"/>
      <c r="B85" s="4" t="n"/>
      <c r="C85" s="4" t="n"/>
      <c r="D85" s="4" t="n"/>
      <c r="E85" s="4" t="n"/>
      <c r="F85" s="419" t="n"/>
      <c r="G85" s="440" t="n"/>
      <c r="H85" s="226" t="n"/>
      <c r="I85" s="226" t="n"/>
      <c r="J85" s="226" t="n"/>
      <c r="K85" s="226" t="n"/>
      <c r="L85" s="226" t="n"/>
      <c r="M85" s="226" t="n"/>
      <c r="N85" s="226" t="n"/>
      <c r="O85" s="419" t="n"/>
      <c r="P85" s="226" t="n"/>
      <c r="Q85" s="226" t="n"/>
      <c r="R85" s="226" t="n"/>
      <c r="S85" s="226" t="n"/>
      <c r="T85" s="226" t="n"/>
      <c r="U85" s="226" t="n"/>
      <c r="V85" s="419" t="n"/>
      <c r="W85" s="419" t="n"/>
      <c r="X85" s="419" t="n"/>
    </row>
    <row r="86">
      <c r="A86" s="4" t="n"/>
      <c r="B86" s="4" t="n"/>
      <c r="C86" s="4" t="n"/>
      <c r="D86" s="4" t="n"/>
      <c r="E86" s="4" t="n"/>
      <c r="F86" s="419" t="n"/>
      <c r="G86" s="440" t="n"/>
      <c r="H86" s="226" t="n"/>
      <c r="I86" s="226" t="n"/>
      <c r="J86" s="226" t="n"/>
      <c r="K86" s="226" t="n"/>
      <c r="L86" s="226" t="n"/>
      <c r="M86" s="226" t="n"/>
      <c r="N86" s="226" t="n"/>
      <c r="O86" s="419" t="n"/>
      <c r="P86" s="226" t="n"/>
      <c r="Q86" s="226" t="n"/>
      <c r="R86" s="226" t="n"/>
      <c r="S86" s="226" t="n"/>
      <c r="T86" s="226" t="n"/>
      <c r="U86" s="226" t="n"/>
      <c r="V86" s="419" t="n"/>
      <c r="W86" s="419" t="n"/>
      <c r="X86" s="419" t="n"/>
    </row>
    <row r="87">
      <c r="A87" s="4" t="n"/>
      <c r="B87" s="4" t="n"/>
      <c r="C87" s="4" t="n"/>
      <c r="D87" s="4" t="n"/>
      <c r="E87" s="4" t="n"/>
      <c r="F87" s="419" t="n"/>
      <c r="G87" s="440" t="n"/>
      <c r="H87" s="226" t="n"/>
      <c r="I87" s="226" t="n"/>
      <c r="J87" s="226" t="n"/>
      <c r="K87" s="226" t="n"/>
      <c r="L87" s="226" t="n"/>
      <c r="M87" s="226" t="n"/>
      <c r="N87" s="226" t="n"/>
      <c r="O87" s="419" t="n"/>
      <c r="P87" s="226" t="n"/>
      <c r="Q87" s="226" t="n"/>
      <c r="R87" s="226" t="n"/>
      <c r="S87" s="226" t="n"/>
      <c r="T87" s="226" t="n"/>
      <c r="U87" s="226" t="n"/>
      <c r="V87" s="419" t="n"/>
      <c r="W87" s="419" t="n"/>
      <c r="X87" s="419" t="n"/>
    </row>
    <row r="88">
      <c r="A88" s="4" t="n"/>
      <c r="B88" s="4" t="n"/>
      <c r="C88" s="4" t="n"/>
      <c r="D88" s="4" t="n"/>
      <c r="E88" s="4" t="n"/>
      <c r="F88" s="419" t="n"/>
      <c r="G88" s="440" t="n"/>
      <c r="H88" s="226" t="n"/>
      <c r="I88" s="226" t="n"/>
      <c r="J88" s="226" t="n"/>
      <c r="K88" s="226" t="n"/>
      <c r="L88" s="226" t="n"/>
      <c r="M88" s="226" t="n"/>
      <c r="N88" s="226" t="n"/>
      <c r="O88" s="419" t="n"/>
      <c r="P88" s="226" t="n"/>
      <c r="Q88" s="226" t="n"/>
      <c r="R88" s="226" t="n"/>
      <c r="S88" s="226" t="n"/>
      <c r="T88" s="226" t="n"/>
      <c r="U88" s="226" t="n"/>
      <c r="V88" s="419" t="n"/>
      <c r="W88" s="419" t="n"/>
      <c r="X88" s="419" t="n"/>
    </row>
    <row r="89">
      <c r="A89" s="4" t="n"/>
      <c r="B89" s="4" t="n"/>
      <c r="C89" s="4" t="n"/>
      <c r="D89" s="4" t="n"/>
      <c r="E89" s="4" t="n"/>
      <c r="F89" s="419" t="n"/>
      <c r="G89" s="440" t="n"/>
      <c r="H89" s="226" t="n"/>
      <c r="I89" s="226" t="n"/>
      <c r="J89" s="226" t="n"/>
      <c r="K89" s="226" t="n"/>
      <c r="L89" s="226" t="n"/>
      <c r="M89" s="226" t="n"/>
      <c r="N89" s="226" t="n"/>
      <c r="O89" s="419" t="n"/>
      <c r="P89" s="226" t="n"/>
      <c r="Q89" s="226" t="n"/>
      <c r="R89" s="226" t="n"/>
      <c r="S89" s="226" t="n"/>
      <c r="T89" s="226" t="n"/>
      <c r="U89" s="226" t="n"/>
      <c r="V89" s="419" t="n"/>
      <c r="W89" s="419" t="n"/>
      <c r="X89" s="419" t="n"/>
    </row>
    <row r="90">
      <c r="A90" s="4" t="n"/>
      <c r="B90" s="4" t="n"/>
      <c r="C90" s="4" t="n"/>
      <c r="D90" s="4" t="n"/>
      <c r="E90" s="4" t="n"/>
      <c r="F90" s="419" t="n"/>
      <c r="G90" s="440" t="n"/>
      <c r="H90" s="226" t="n"/>
      <c r="I90" s="226" t="n"/>
      <c r="J90" s="226" t="n"/>
      <c r="K90" s="226" t="n"/>
      <c r="L90" s="226" t="n"/>
      <c r="M90" s="226" t="n"/>
      <c r="N90" s="226" t="n"/>
      <c r="O90" s="419" t="n"/>
      <c r="P90" s="226" t="n"/>
      <c r="Q90" s="226" t="n"/>
      <c r="R90" s="226" t="n"/>
      <c r="S90" s="226" t="n"/>
      <c r="T90" s="226" t="n"/>
      <c r="U90" s="226" t="n"/>
      <c r="V90" s="419" t="n"/>
      <c r="W90" s="419" t="n"/>
      <c r="X90" s="419" t="n"/>
    </row>
    <row r="91">
      <c r="A91" s="4" t="n"/>
      <c r="B91" s="4" t="n"/>
      <c r="C91" s="4" t="n"/>
      <c r="D91" s="4" t="n"/>
      <c r="E91" s="4" t="n"/>
      <c r="F91" s="419" t="n"/>
      <c r="G91" s="440" t="n"/>
      <c r="H91" s="226" t="n"/>
      <c r="I91" s="226" t="n"/>
      <c r="J91" s="226" t="n"/>
      <c r="K91" s="226" t="n"/>
      <c r="L91" s="226" t="n"/>
      <c r="M91" s="226" t="n"/>
      <c r="N91" s="226" t="n"/>
      <c r="O91" s="419" t="n"/>
      <c r="P91" s="226" t="n"/>
      <c r="Q91" s="226" t="n"/>
      <c r="R91" s="226" t="n"/>
      <c r="S91" s="226" t="n"/>
      <c r="T91" s="226" t="n"/>
      <c r="U91" s="226" t="n"/>
      <c r="V91" s="419" t="n"/>
      <c r="W91" s="419" t="n"/>
      <c r="X91" s="419" t="n"/>
    </row>
    <row r="92">
      <c r="A92" s="4" t="n"/>
      <c r="B92" s="4" t="n"/>
      <c r="C92" s="4" t="n"/>
      <c r="D92" s="4" t="n"/>
      <c r="E92" s="4" t="n"/>
      <c r="F92" s="419" t="n"/>
      <c r="G92" s="440" t="n"/>
      <c r="H92" s="226" t="n"/>
      <c r="I92" s="226" t="n"/>
      <c r="J92" s="226" t="n"/>
      <c r="K92" s="226" t="n"/>
      <c r="L92" s="226" t="n"/>
      <c r="M92" s="226" t="n"/>
      <c r="N92" s="226" t="n"/>
      <c r="O92" s="419" t="n"/>
      <c r="P92" s="226" t="n"/>
      <c r="Q92" s="226" t="n"/>
      <c r="R92" s="226" t="n"/>
      <c r="S92" s="226" t="n"/>
      <c r="T92" s="226" t="n"/>
      <c r="U92" s="226" t="n"/>
      <c r="V92" s="419" t="n"/>
      <c r="W92" s="419" t="n"/>
      <c r="X92" s="419" t="n"/>
    </row>
    <row r="93">
      <c r="A93" s="4" t="n"/>
      <c r="B93" s="4" t="n"/>
      <c r="C93" s="4" t="n"/>
      <c r="D93" s="4" t="n"/>
      <c r="E93" s="4" t="n"/>
      <c r="F93" s="419" t="n"/>
      <c r="G93" s="440" t="n"/>
      <c r="H93" s="226" t="n"/>
      <c r="I93" s="226" t="n"/>
      <c r="J93" s="226" t="n"/>
      <c r="K93" s="226" t="n"/>
      <c r="L93" s="226" t="n"/>
      <c r="M93" s="226" t="n"/>
      <c r="N93" s="226" t="n"/>
      <c r="O93" s="419" t="n"/>
      <c r="P93" s="226" t="n"/>
      <c r="Q93" s="226" t="n"/>
      <c r="R93" s="226" t="n"/>
      <c r="S93" s="226" t="n"/>
      <c r="T93" s="226" t="n"/>
      <c r="U93" s="226" t="n"/>
      <c r="V93" s="419" t="n"/>
      <c r="W93" s="419" t="n"/>
      <c r="X93" s="419" t="n"/>
    </row>
    <row r="94">
      <c r="A94" s="4" t="n"/>
      <c r="B94" s="4" t="n"/>
      <c r="C94" s="4" t="n"/>
      <c r="D94" s="4" t="n"/>
      <c r="E94" s="4" t="n"/>
      <c r="F94" s="419" t="n"/>
      <c r="G94" s="440" t="n"/>
      <c r="H94" s="226" t="n"/>
      <c r="I94" s="226" t="n"/>
      <c r="J94" s="226" t="n"/>
      <c r="K94" s="226" t="n"/>
      <c r="L94" s="226" t="n"/>
      <c r="M94" s="226" t="n"/>
      <c r="N94" s="226" t="n"/>
      <c r="O94" s="419" t="n"/>
      <c r="P94" s="226" t="n"/>
      <c r="Q94" s="226" t="n"/>
      <c r="R94" s="226" t="n"/>
      <c r="S94" s="226" t="n"/>
      <c r="T94" s="226" t="n"/>
      <c r="U94" s="226" t="n"/>
      <c r="V94" s="419" t="n"/>
      <c r="W94" s="419" t="n"/>
      <c r="X94" s="419" t="n"/>
    </row>
    <row r="95">
      <c r="A95" s="4" t="n"/>
      <c r="B95" s="4" t="n"/>
      <c r="C95" s="4" t="n"/>
      <c r="D95" s="4" t="n"/>
      <c r="E95" s="4" t="n"/>
      <c r="F95" s="419" t="n"/>
      <c r="G95" s="440" t="n"/>
      <c r="H95" s="226" t="n"/>
      <c r="I95" s="226" t="n"/>
      <c r="J95" s="226" t="n"/>
      <c r="K95" s="226" t="n"/>
      <c r="L95" s="226" t="n"/>
      <c r="M95" s="226" t="n"/>
      <c r="N95" s="226" t="n"/>
      <c r="O95" s="419" t="n"/>
      <c r="P95" s="226" t="n"/>
      <c r="Q95" s="226" t="n"/>
      <c r="R95" s="226" t="n"/>
      <c r="S95" s="226" t="n"/>
      <c r="T95" s="337" t="n"/>
      <c r="U95" s="337" t="n"/>
      <c r="V95" s="419" t="n"/>
      <c r="W95" s="419" t="n"/>
      <c r="X95" s="419" t="n"/>
    </row>
    <row r="96">
      <c r="A96" s="4" t="n"/>
      <c r="B96" s="4" t="n"/>
      <c r="C96" s="4" t="n"/>
      <c r="D96" s="4" t="n"/>
      <c r="E96" s="4" t="n"/>
      <c r="F96" s="419" t="n"/>
      <c r="G96" s="440" t="n"/>
      <c r="H96" s="226" t="n"/>
      <c r="I96" s="226" t="n"/>
      <c r="J96" s="226" t="n"/>
      <c r="K96" s="226" t="n"/>
      <c r="L96" s="226" t="n"/>
      <c r="M96" s="226" t="n"/>
      <c r="N96" s="226" t="n"/>
      <c r="O96" s="419" t="n"/>
      <c r="P96" s="226" t="n"/>
      <c r="Q96" s="226" t="n"/>
      <c r="R96" s="226" t="n"/>
      <c r="S96" s="226" t="n"/>
      <c r="T96" s="337" t="n"/>
      <c r="U96" s="337" t="n"/>
      <c r="V96" s="419" t="n"/>
      <c r="W96" s="419" t="n"/>
      <c r="X96" s="419" t="n"/>
    </row>
    <row r="97">
      <c r="A97" s="4" t="n"/>
      <c r="B97" s="4" t="n"/>
      <c r="C97" s="4" t="n"/>
      <c r="D97" s="4" t="n"/>
      <c r="E97" s="4" t="n"/>
      <c r="F97" s="419" t="n"/>
      <c r="G97" s="440" t="n"/>
      <c r="H97" s="226" t="n"/>
      <c r="I97" s="226" t="n"/>
      <c r="J97" s="226" t="n"/>
      <c r="K97" s="226" t="n"/>
      <c r="L97" s="226" t="n"/>
      <c r="M97" s="226" t="n"/>
      <c r="N97" s="226" t="n"/>
      <c r="O97" s="419" t="n"/>
      <c r="P97" s="226" t="n"/>
      <c r="Q97" s="226" t="n"/>
      <c r="R97" s="226" t="n"/>
      <c r="S97" s="226" t="n"/>
      <c r="T97" s="337" t="n"/>
      <c r="U97" s="337" t="n"/>
      <c r="V97" s="419" t="n"/>
      <c r="W97" s="419" t="n"/>
      <c r="X97" s="419" t="n"/>
    </row>
    <row r="98">
      <c r="A98" s="4" t="n"/>
      <c r="B98" s="4" t="n"/>
      <c r="C98" s="4" t="n"/>
      <c r="D98" s="4" t="n"/>
      <c r="E98" s="4" t="n"/>
      <c r="F98" s="419" t="n"/>
      <c r="G98" s="440" t="n"/>
      <c r="H98" s="226" t="n"/>
      <c r="I98" s="226" t="n"/>
      <c r="J98" s="226" t="n"/>
      <c r="K98" s="226" t="n"/>
      <c r="L98" s="226" t="n"/>
      <c r="M98" s="226" t="n"/>
      <c r="N98" s="226" t="n"/>
      <c r="O98" s="419" t="n"/>
      <c r="P98" s="226" t="n"/>
      <c r="Q98" s="226" t="n"/>
      <c r="R98" s="226" t="n"/>
      <c r="S98" s="226" t="n"/>
      <c r="T98" s="337" t="n"/>
      <c r="U98" s="337" t="n"/>
      <c r="V98" s="419" t="n"/>
      <c r="W98" s="419" t="n"/>
      <c r="X98" s="419" t="n"/>
    </row>
    <row r="99">
      <c r="A99" s="4" t="n"/>
      <c r="B99" s="4" t="n"/>
      <c r="C99" s="4" t="n"/>
      <c r="D99" s="4" t="n"/>
      <c r="E99" s="4" t="n"/>
      <c r="F99" s="419" t="n"/>
      <c r="G99" s="440" t="n"/>
      <c r="H99" s="226" t="n"/>
      <c r="I99" s="226" t="n"/>
      <c r="J99" s="226" t="n"/>
      <c r="K99" s="226" t="n"/>
      <c r="L99" s="226" t="n"/>
      <c r="M99" s="226" t="n"/>
      <c r="N99" s="226" t="n"/>
      <c r="O99" s="419" t="n"/>
      <c r="P99" s="226" t="n"/>
      <c r="Q99" s="226" t="n"/>
      <c r="R99" s="226" t="n"/>
      <c r="S99" s="226" t="n"/>
      <c r="T99" s="337" t="n"/>
      <c r="U99" s="337" t="n"/>
      <c r="V99" s="419" t="n"/>
      <c r="W99" s="419" t="n"/>
      <c r="X99" s="419" t="n"/>
    </row>
    <row r="100">
      <c r="A100" s="4" t="n"/>
      <c r="B100" s="4" t="n"/>
      <c r="C100" s="4" t="n"/>
      <c r="D100" s="4" t="n"/>
      <c r="E100" s="4" t="n"/>
      <c r="F100" s="419" t="n"/>
      <c r="G100" s="440" t="n"/>
      <c r="H100" s="226" t="n"/>
      <c r="I100" s="226" t="n"/>
      <c r="J100" s="226" t="n"/>
      <c r="K100" s="226" t="n"/>
      <c r="L100" s="226" t="n"/>
      <c r="M100" s="226" t="n"/>
      <c r="N100" s="226" t="n"/>
      <c r="O100" s="419" t="n"/>
      <c r="P100" s="226" t="n"/>
      <c r="Q100" s="226" t="n"/>
      <c r="R100" s="226" t="n"/>
      <c r="S100" s="226" t="n"/>
      <c r="T100" s="337" t="n"/>
      <c r="U100" s="337" t="n"/>
      <c r="V100" s="419" t="n"/>
      <c r="W100" s="419" t="n"/>
      <c r="X100" s="419" t="n"/>
    </row>
    <row r="101">
      <c r="A101" s="4" t="n"/>
      <c r="B101" s="4" t="n"/>
      <c r="C101" s="4" t="n"/>
      <c r="D101" s="4" t="n"/>
      <c r="E101" s="4" t="n"/>
      <c r="F101" s="419" t="n"/>
      <c r="G101" s="440" t="n"/>
      <c r="H101" s="226" t="n"/>
      <c r="I101" s="226" t="n"/>
      <c r="J101" s="226" t="n"/>
      <c r="K101" s="226" t="n"/>
      <c r="L101" s="226" t="n"/>
      <c r="M101" s="226" t="n"/>
      <c r="N101" s="226" t="n"/>
      <c r="O101" s="419" t="n"/>
      <c r="P101" s="226" t="n"/>
      <c r="Q101" s="226" t="n"/>
      <c r="R101" s="226" t="n"/>
      <c r="S101" s="226" t="n"/>
      <c r="T101" s="337" t="n"/>
      <c r="U101" s="337" t="n"/>
      <c r="V101" s="419" t="n"/>
      <c r="W101" s="419" t="n"/>
      <c r="X101" s="419" t="n"/>
    </row>
    <row r="102">
      <c r="A102" s="4" t="n"/>
      <c r="B102" s="4" t="n"/>
      <c r="C102" s="4" t="n"/>
      <c r="D102" s="4" t="n"/>
      <c r="E102" s="4" t="n"/>
      <c r="F102" s="419" t="n"/>
      <c r="G102" s="440" t="n"/>
      <c r="H102" s="226" t="n"/>
      <c r="I102" s="226" t="n"/>
      <c r="J102" s="226" t="n"/>
      <c r="K102" s="226" t="n"/>
      <c r="L102" s="226" t="n"/>
      <c r="M102" s="226" t="n"/>
      <c r="N102" s="226" t="n"/>
      <c r="O102" s="419" t="n"/>
      <c r="P102" s="226" t="n"/>
      <c r="Q102" s="226" t="n"/>
      <c r="R102" s="226" t="n"/>
      <c r="S102" s="226" t="n"/>
      <c r="T102" s="337" t="n"/>
      <c r="U102" s="337" t="n"/>
      <c r="V102" s="419" t="n"/>
      <c r="W102" s="419" t="n"/>
      <c r="X102" s="419" t="n"/>
    </row>
    <row r="103">
      <c r="A103" s="4" t="n"/>
      <c r="B103" s="4" t="n"/>
      <c r="C103" s="4" t="n"/>
      <c r="D103" s="4" t="n"/>
      <c r="E103" s="4" t="n"/>
      <c r="F103" s="419" t="n"/>
      <c r="G103" s="440" t="n"/>
      <c r="H103" s="226" t="n"/>
      <c r="I103" s="226" t="n"/>
      <c r="J103" s="226" t="n"/>
      <c r="K103" s="226" t="n"/>
      <c r="L103" s="226" t="n"/>
      <c r="M103" s="226" t="n"/>
      <c r="N103" s="226" t="n"/>
      <c r="O103" s="419" t="n"/>
      <c r="P103" s="226" t="n"/>
      <c r="Q103" s="226" t="n"/>
      <c r="R103" s="226" t="n"/>
      <c r="S103" s="226" t="n"/>
      <c r="T103" s="337" t="n"/>
      <c r="U103" s="337" t="n"/>
      <c r="V103" s="419" t="n"/>
      <c r="W103" s="419" t="n"/>
      <c r="X103" s="419" t="n"/>
    </row>
    <row r="104">
      <c r="A104" s="4" t="n"/>
      <c r="B104" s="4" t="n"/>
      <c r="C104" s="4" t="n"/>
      <c r="D104" s="4" t="n"/>
      <c r="E104" s="4" t="n"/>
      <c r="F104" s="419" t="n"/>
      <c r="G104" s="440" t="n"/>
      <c r="H104" s="226" t="n"/>
      <c r="I104" s="226" t="n"/>
      <c r="J104" s="226" t="n"/>
      <c r="K104" s="226" t="n"/>
      <c r="L104" s="226" t="n"/>
      <c r="M104" s="226" t="n"/>
      <c r="N104" s="226" t="n"/>
      <c r="O104" s="419" t="n"/>
      <c r="P104" s="226" t="n"/>
      <c r="Q104" s="226" t="n"/>
      <c r="R104" s="226" t="n"/>
      <c r="S104" s="226" t="n"/>
      <c r="T104" s="337" t="n"/>
      <c r="U104" s="337" t="n"/>
      <c r="V104" s="419" t="n"/>
      <c r="W104" s="419" t="n"/>
      <c r="X104" s="419" t="n"/>
    </row>
    <row r="105">
      <c r="A105" s="4" t="n"/>
      <c r="B105" s="4" t="n"/>
      <c r="C105" s="4" t="n"/>
      <c r="D105" s="4" t="n"/>
      <c r="E105" s="4" t="n"/>
      <c r="F105" s="419" t="n"/>
      <c r="G105" s="440" t="n"/>
      <c r="H105" s="226" t="n"/>
      <c r="I105" s="226" t="n"/>
      <c r="J105" s="226" t="n"/>
      <c r="K105" s="226" t="n"/>
      <c r="L105" s="226" t="n"/>
      <c r="M105" s="226" t="n"/>
      <c r="N105" s="226" t="n"/>
      <c r="O105" s="419" t="n"/>
      <c r="P105" s="226" t="n"/>
      <c r="Q105" s="226" t="n"/>
      <c r="R105" s="226" t="n"/>
      <c r="S105" s="226" t="n"/>
      <c r="T105" s="337" t="n"/>
      <c r="U105" s="337" t="n"/>
      <c r="V105" s="419" t="n"/>
      <c r="W105" s="419" t="n"/>
      <c r="X105" s="419" t="n"/>
    </row>
    <row r="106">
      <c r="A106" s="4" t="n"/>
      <c r="B106" s="4" t="n"/>
      <c r="C106" s="4" t="n"/>
      <c r="D106" s="4" t="n"/>
      <c r="E106" s="4" t="n"/>
      <c r="F106" s="419" t="n"/>
      <c r="G106" s="440" t="n"/>
      <c r="H106" s="226" t="n"/>
      <c r="I106" s="226" t="n"/>
      <c r="J106" s="226" t="n"/>
      <c r="K106" s="226" t="n"/>
      <c r="L106" s="226" t="n"/>
      <c r="M106" s="226" t="n"/>
      <c r="N106" s="226" t="n"/>
      <c r="O106" s="419" t="n"/>
      <c r="P106" s="226" t="n"/>
      <c r="Q106" s="226" t="n"/>
      <c r="R106" s="226" t="n"/>
      <c r="S106" s="226" t="n"/>
      <c r="T106" s="337" t="n"/>
      <c r="U106" s="337" t="n"/>
      <c r="V106" s="419" t="n"/>
      <c r="W106" s="419" t="n"/>
      <c r="X106" s="419" t="n"/>
    </row>
    <row r="107">
      <c r="A107" s="4" t="n"/>
      <c r="B107" s="4" t="n"/>
      <c r="C107" s="4" t="n"/>
      <c r="D107" s="4" t="n"/>
      <c r="E107" s="4" t="n"/>
      <c r="F107" s="419" t="n"/>
      <c r="G107" s="440" t="n"/>
      <c r="H107" s="226" t="n"/>
      <c r="I107" s="226" t="n"/>
      <c r="J107" s="226" t="n"/>
      <c r="K107" s="226" t="n"/>
      <c r="L107" s="226" t="n"/>
      <c r="M107" s="226" t="n"/>
      <c r="N107" s="226" t="n"/>
      <c r="O107" s="419" t="n"/>
      <c r="P107" s="226" t="n"/>
      <c r="Q107" s="226" t="n"/>
      <c r="R107" s="226" t="n"/>
      <c r="S107" s="226" t="n"/>
      <c r="T107" s="337" t="n"/>
      <c r="U107" s="337" t="n"/>
      <c r="V107" s="419" t="n"/>
      <c r="W107" s="419" t="n"/>
      <c r="X107" s="419" t="n"/>
    </row>
    <row r="108">
      <c r="A108" s="4" t="n"/>
      <c r="B108" s="4" t="n"/>
      <c r="C108" s="4" t="n"/>
      <c r="D108" s="4" t="n"/>
      <c r="E108" s="4" t="n"/>
      <c r="F108" s="419" t="n"/>
      <c r="G108" s="440" t="n"/>
      <c r="H108" s="226" t="n"/>
      <c r="I108" s="226" t="n"/>
      <c r="J108" s="226" t="n"/>
      <c r="K108" s="226" t="n"/>
      <c r="L108" s="226" t="n"/>
      <c r="M108" s="226" t="n"/>
      <c r="N108" s="226" t="n"/>
      <c r="O108" s="419" t="n"/>
      <c r="P108" s="226" t="n"/>
      <c r="Q108" s="226" t="n"/>
      <c r="R108" s="226" t="n"/>
      <c r="S108" s="226" t="n"/>
      <c r="T108" s="337" t="n"/>
      <c r="U108" s="337" t="n"/>
      <c r="V108" s="419" t="n"/>
      <c r="W108" s="419" t="n"/>
      <c r="X108" s="419" t="n"/>
    </row>
    <row r="109">
      <c r="A109" s="4" t="n"/>
      <c r="B109" s="4" t="n"/>
      <c r="C109" s="4" t="n"/>
      <c r="D109" s="4" t="n"/>
      <c r="E109" s="4" t="n"/>
      <c r="F109" s="419" t="n"/>
      <c r="G109" s="440" t="n"/>
      <c r="H109" s="226" t="n"/>
      <c r="I109" s="226" t="n"/>
      <c r="J109" s="226" t="n"/>
      <c r="K109" s="226" t="n"/>
      <c r="L109" s="226" t="n"/>
      <c r="M109" s="226" t="n"/>
      <c r="N109" s="226" t="n"/>
      <c r="O109" s="419" t="n"/>
      <c r="P109" s="226" t="n"/>
      <c r="Q109" s="226" t="n"/>
      <c r="R109" s="226" t="n"/>
      <c r="S109" s="226" t="n"/>
      <c r="T109" s="337" t="n"/>
      <c r="U109" s="337" t="n"/>
      <c r="V109" s="419" t="n"/>
      <c r="W109" s="419" t="n"/>
      <c r="X109" s="419" t="n"/>
    </row>
    <row r="110">
      <c r="A110" s="4" t="n"/>
      <c r="B110" s="4" t="n"/>
      <c r="C110" s="4" t="n"/>
      <c r="D110" s="4" t="n"/>
      <c r="E110" s="4" t="n"/>
      <c r="F110" s="419" t="n"/>
      <c r="G110" s="440" t="n"/>
      <c r="H110" s="226" t="n"/>
      <c r="I110" s="226" t="n"/>
      <c r="J110" s="226" t="n"/>
      <c r="K110" s="226" t="n"/>
      <c r="L110" s="226" t="n"/>
      <c r="M110" s="226" t="n"/>
      <c r="N110" s="226" t="n"/>
      <c r="O110" s="419" t="n"/>
      <c r="P110" s="226" t="n"/>
      <c r="Q110" s="226" t="n"/>
      <c r="R110" s="226" t="n"/>
      <c r="S110" s="226" t="n"/>
      <c r="T110" s="337" t="n"/>
      <c r="U110" s="337" t="n"/>
      <c r="V110" s="419" t="n"/>
      <c r="W110" s="419" t="n"/>
      <c r="X110" s="419" t="n"/>
    </row>
    <row r="111">
      <c r="A111" s="4" t="n"/>
      <c r="B111" s="4" t="n"/>
      <c r="C111" s="4" t="n"/>
      <c r="D111" s="4" t="n"/>
      <c r="E111" s="4" t="n"/>
      <c r="F111" s="419" t="n"/>
      <c r="G111" s="440" t="n"/>
      <c r="H111" s="226" t="n"/>
      <c r="I111" s="226" t="n"/>
      <c r="J111" s="226" t="n"/>
      <c r="K111" s="226" t="n"/>
      <c r="L111" s="226" t="n"/>
      <c r="M111" s="226" t="n"/>
      <c r="N111" s="226" t="n"/>
      <c r="O111" s="419" t="n"/>
      <c r="P111" s="226" t="n"/>
      <c r="Q111" s="226" t="n"/>
      <c r="R111" s="226" t="n"/>
      <c r="S111" s="226" t="n"/>
      <c r="T111" s="337" t="n"/>
      <c r="U111" s="337" t="n"/>
      <c r="V111" s="419" t="n"/>
      <c r="W111" s="419" t="n"/>
      <c r="X111" s="419" t="n"/>
    </row>
    <row r="112">
      <c r="A112" s="4" t="n"/>
      <c r="B112" s="4" t="n"/>
      <c r="C112" s="4" t="n"/>
      <c r="D112" s="4" t="n"/>
      <c r="E112" s="4" t="n"/>
      <c r="F112" s="419" t="n"/>
      <c r="G112" s="440" t="n"/>
      <c r="H112" s="226" t="n"/>
      <c r="I112" s="226" t="n"/>
      <c r="J112" s="226" t="n"/>
      <c r="K112" s="226" t="n"/>
      <c r="L112" s="226" t="n"/>
      <c r="M112" s="226" t="n"/>
      <c r="N112" s="226" t="n"/>
      <c r="O112" s="419" t="n"/>
      <c r="P112" s="226" t="n"/>
      <c r="Q112" s="226" t="n"/>
      <c r="R112" s="226" t="n"/>
      <c r="S112" s="226" t="n"/>
      <c r="T112" s="337" t="n"/>
      <c r="U112" s="337" t="n"/>
      <c r="V112" s="419" t="n"/>
      <c r="W112" s="419" t="n"/>
      <c r="X112" s="419" t="n"/>
    </row>
    <row r="113">
      <c r="A113" s="4" t="n"/>
      <c r="B113" s="4" t="n"/>
      <c r="C113" s="4" t="n"/>
      <c r="D113" s="4" t="n"/>
      <c r="E113" s="4" t="n"/>
      <c r="F113" s="419" t="n"/>
      <c r="G113" s="440" t="n"/>
      <c r="H113" s="226" t="n"/>
      <c r="I113" s="226" t="n"/>
      <c r="J113" s="226" t="n"/>
      <c r="K113" s="226" t="n"/>
      <c r="L113" s="226" t="n"/>
      <c r="M113" s="226" t="n"/>
      <c r="N113" s="226" t="n"/>
      <c r="O113" s="419" t="n"/>
      <c r="P113" s="226" t="n"/>
      <c r="Q113" s="226" t="n"/>
      <c r="R113" s="226" t="n"/>
      <c r="S113" s="226" t="n"/>
      <c r="T113" s="337" t="n"/>
      <c r="U113" s="337" t="n"/>
      <c r="V113" s="419" t="n"/>
      <c r="W113" s="419" t="n"/>
      <c r="X113" s="419" t="n"/>
    </row>
    <row r="114">
      <c r="A114" s="4" t="n"/>
      <c r="B114" s="4" t="n"/>
      <c r="C114" s="4" t="n"/>
      <c r="D114" s="4" t="n"/>
      <c r="E114" s="4" t="n"/>
      <c r="F114" s="419" t="n"/>
      <c r="G114" s="440" t="n"/>
      <c r="H114" s="226" t="n"/>
      <c r="I114" s="226" t="n"/>
      <c r="J114" s="226" t="n"/>
      <c r="K114" s="226" t="n"/>
      <c r="L114" s="226" t="n"/>
      <c r="M114" s="226" t="n"/>
      <c r="N114" s="226" t="n"/>
      <c r="O114" s="419" t="n"/>
      <c r="P114" s="226" t="n"/>
      <c r="Q114" s="226" t="n"/>
      <c r="R114" s="226" t="n"/>
      <c r="S114" s="226" t="n"/>
      <c r="T114" s="337" t="n"/>
      <c r="U114" s="337" t="n"/>
      <c r="V114" s="419" t="n"/>
      <c r="W114" s="419" t="n"/>
      <c r="X114" s="419" t="n"/>
    </row>
    <row r="115">
      <c r="A115" s="4" t="n"/>
      <c r="B115" s="4" t="n"/>
      <c r="C115" s="4" t="n"/>
      <c r="D115" s="4" t="n"/>
      <c r="E115" s="4" t="n"/>
      <c r="F115" s="419" t="n"/>
      <c r="G115" s="440" t="n"/>
      <c r="H115" s="226" t="n"/>
      <c r="I115" s="226" t="n"/>
      <c r="J115" s="226" t="n"/>
      <c r="K115" s="226" t="n"/>
      <c r="L115" s="226" t="n"/>
      <c r="M115" s="226" t="n"/>
      <c r="N115" s="226" t="n"/>
      <c r="O115" s="419" t="n"/>
      <c r="P115" s="226" t="n"/>
      <c r="Q115" s="226" t="n"/>
      <c r="R115" s="226" t="n"/>
      <c r="S115" s="226" t="n"/>
      <c r="T115" s="337" t="n"/>
      <c r="U115" s="337" t="n"/>
      <c r="V115" s="419" t="n"/>
      <c r="W115" s="419" t="n"/>
      <c r="X115" s="419" t="n"/>
    </row>
    <row r="116">
      <c r="A116" s="4" t="n"/>
      <c r="B116" s="4" t="n"/>
      <c r="C116" s="4" t="n"/>
      <c r="D116" s="4" t="n"/>
      <c r="E116" s="4" t="n"/>
      <c r="F116" s="419" t="n"/>
      <c r="G116" s="440" t="n"/>
      <c r="H116" s="226" t="n"/>
      <c r="I116" s="226" t="n"/>
      <c r="J116" s="226" t="n"/>
      <c r="K116" s="226" t="n"/>
      <c r="L116" s="226" t="n"/>
      <c r="M116" s="226" t="n"/>
      <c r="N116" s="226" t="n"/>
      <c r="O116" s="419" t="n"/>
      <c r="P116" s="226" t="n"/>
      <c r="Q116" s="226" t="n"/>
      <c r="R116" s="226" t="n"/>
      <c r="S116" s="226" t="n"/>
      <c r="T116" s="337" t="n"/>
      <c r="U116" s="337" t="n"/>
      <c r="V116" s="419" t="n"/>
      <c r="W116" s="419" t="n"/>
      <c r="X116" s="419" t="n"/>
    </row>
    <row r="117">
      <c r="A117" s="4" t="n"/>
      <c r="B117" s="4" t="n"/>
      <c r="C117" s="4" t="n"/>
      <c r="D117" s="4" t="n"/>
      <c r="E117" s="4" t="n"/>
      <c r="F117" s="419" t="n"/>
      <c r="G117" s="440" t="n"/>
      <c r="H117" s="226" t="n"/>
      <c r="I117" s="226" t="n"/>
      <c r="J117" s="226" t="n"/>
      <c r="K117" s="226" t="n"/>
      <c r="L117" s="226" t="n"/>
      <c r="M117" s="226" t="n"/>
      <c r="N117" s="226" t="n"/>
      <c r="O117" s="419" t="n"/>
      <c r="P117" s="226" t="n"/>
      <c r="Q117" s="226" t="n"/>
      <c r="R117" s="226" t="n"/>
      <c r="S117" s="226" t="n"/>
      <c r="T117" s="337" t="n"/>
      <c r="U117" s="337" t="n"/>
      <c r="V117" s="419" t="n"/>
      <c r="W117" s="419" t="n"/>
      <c r="X117" s="419" t="n"/>
    </row>
    <row r="118">
      <c r="A118" s="4" t="n"/>
      <c r="B118" s="4" t="n"/>
      <c r="C118" s="4" t="n"/>
      <c r="D118" s="4" t="n"/>
      <c r="E118" s="4" t="n"/>
      <c r="F118" s="419" t="n"/>
      <c r="G118" s="440" t="n"/>
      <c r="H118" s="226" t="n"/>
      <c r="I118" s="226" t="n"/>
      <c r="J118" s="226" t="n"/>
      <c r="K118" s="226" t="n"/>
      <c r="L118" s="226" t="n"/>
      <c r="M118" s="226" t="n"/>
      <c r="N118" s="226" t="n"/>
      <c r="O118" s="419" t="n"/>
      <c r="P118" s="226" t="n"/>
      <c r="Q118" s="226" t="n"/>
      <c r="R118" s="226" t="n"/>
      <c r="S118" s="226" t="n"/>
      <c r="T118" s="337" t="n"/>
      <c r="U118" s="337" t="n"/>
      <c r="V118" s="419" t="n"/>
      <c r="W118" s="419" t="n"/>
      <c r="X118" s="419" t="n"/>
    </row>
    <row r="119">
      <c r="A119" s="4" t="n"/>
      <c r="B119" s="4" t="n"/>
      <c r="C119" s="4" t="n"/>
      <c r="D119" s="4" t="n"/>
      <c r="E119" s="4" t="n"/>
      <c r="F119" s="419" t="n"/>
      <c r="G119" s="440" t="n"/>
      <c r="H119" s="226" t="n"/>
      <c r="I119" s="226" t="n"/>
      <c r="J119" s="226" t="n"/>
      <c r="K119" s="226" t="n"/>
      <c r="L119" s="226" t="n"/>
      <c r="M119" s="226" t="n"/>
      <c r="N119" s="226" t="n"/>
      <c r="O119" s="419" t="n"/>
      <c r="P119" s="226" t="n"/>
      <c r="Q119" s="226" t="n"/>
      <c r="R119" s="226" t="n"/>
      <c r="S119" s="226" t="n"/>
      <c r="T119" s="337" t="n"/>
      <c r="U119" s="337" t="n"/>
      <c r="V119" s="419" t="n"/>
      <c r="W119" s="419" t="n"/>
      <c r="X119" s="419" t="n"/>
    </row>
    <row r="120">
      <c r="A120" s="4" t="n"/>
      <c r="B120" s="4" t="n"/>
      <c r="C120" s="4" t="n"/>
      <c r="D120" s="4" t="n"/>
      <c r="E120" s="4" t="n"/>
      <c r="F120" s="419" t="n"/>
      <c r="G120" s="440" t="n"/>
      <c r="H120" s="226" t="n"/>
      <c r="I120" s="226" t="n"/>
      <c r="J120" s="226" t="n"/>
      <c r="K120" s="226" t="n"/>
      <c r="L120" s="226" t="n"/>
      <c r="M120" s="226" t="n"/>
      <c r="N120" s="226" t="n"/>
      <c r="O120" s="419" t="n"/>
      <c r="P120" s="226" t="n"/>
      <c r="Q120" s="226" t="n"/>
      <c r="R120" s="226" t="n"/>
      <c r="S120" s="226" t="n"/>
      <c r="T120" s="337" t="n"/>
      <c r="U120" s="337" t="n"/>
      <c r="V120" s="419" t="n"/>
      <c r="W120" s="419" t="n"/>
      <c r="X120" s="419" t="n"/>
    </row>
    <row r="121">
      <c r="A121" s="4" t="n"/>
      <c r="B121" s="4" t="n"/>
      <c r="C121" s="4" t="n"/>
      <c r="D121" s="4" t="n"/>
      <c r="E121" s="4" t="n"/>
      <c r="F121" s="419" t="n"/>
      <c r="G121" s="440" t="n"/>
      <c r="H121" s="226" t="n"/>
      <c r="I121" s="226" t="n"/>
      <c r="J121" s="226" t="n"/>
      <c r="K121" s="226" t="n"/>
      <c r="L121" s="226" t="n"/>
      <c r="M121" s="226" t="n"/>
      <c r="N121" s="226" t="n"/>
      <c r="O121" s="419" t="n"/>
      <c r="P121" s="226" t="n"/>
      <c r="Q121" s="226" t="n"/>
      <c r="R121" s="226" t="n"/>
      <c r="S121" s="226" t="n"/>
      <c r="T121" s="337" t="n"/>
      <c r="U121" s="337" t="n"/>
      <c r="V121" s="419" t="n"/>
      <c r="W121" s="419" t="n"/>
      <c r="X121" s="419" t="n"/>
    </row>
    <row r="122">
      <c r="A122" s="4" t="n"/>
      <c r="B122" s="4" t="n"/>
      <c r="C122" s="4" t="n"/>
      <c r="D122" s="4" t="n"/>
      <c r="E122" s="4" t="n"/>
      <c r="F122" s="419" t="n"/>
      <c r="G122" s="440" t="n"/>
      <c r="H122" s="226" t="n"/>
      <c r="I122" s="226" t="n"/>
      <c r="J122" s="226" t="n"/>
      <c r="K122" s="226" t="n"/>
      <c r="L122" s="226" t="n"/>
      <c r="M122" s="226" t="n"/>
      <c r="N122" s="226" t="n"/>
      <c r="O122" s="419" t="n"/>
      <c r="P122" s="226" t="n"/>
      <c r="Q122" s="226" t="n"/>
      <c r="R122" s="226" t="n"/>
      <c r="S122" s="226" t="n"/>
      <c r="T122" s="337" t="n"/>
      <c r="U122" s="337" t="n"/>
      <c r="V122" s="419" t="n"/>
      <c r="W122" s="419" t="n"/>
      <c r="X122" s="419" t="n"/>
    </row>
    <row r="123">
      <c r="A123" s="4" t="n"/>
      <c r="B123" s="4" t="n"/>
      <c r="C123" s="4" t="n"/>
      <c r="D123" s="4" t="n"/>
      <c r="E123" s="4" t="n"/>
      <c r="F123" s="419" t="n"/>
      <c r="G123" s="440" t="n"/>
      <c r="H123" s="226" t="n"/>
      <c r="I123" s="226" t="n"/>
      <c r="J123" s="226" t="n"/>
      <c r="K123" s="226" t="n"/>
      <c r="L123" s="226" t="n"/>
      <c r="M123" s="226" t="n"/>
      <c r="N123" s="226" t="n"/>
      <c r="O123" s="419" t="n"/>
      <c r="P123" s="226" t="n"/>
      <c r="Q123" s="226" t="n"/>
      <c r="R123" s="226" t="n"/>
      <c r="S123" s="226" t="n"/>
      <c r="T123" s="337" t="n"/>
      <c r="U123" s="337" t="n"/>
      <c r="V123" s="419" t="n"/>
      <c r="W123" s="419" t="n"/>
      <c r="X123" s="419" t="n"/>
    </row>
    <row r="124">
      <c r="A124" s="4" t="n"/>
      <c r="B124" s="4" t="n"/>
      <c r="C124" s="4" t="n"/>
      <c r="D124" s="4" t="n"/>
      <c r="E124" s="4" t="n"/>
      <c r="F124" s="419" t="n"/>
      <c r="G124" s="440" t="n"/>
      <c r="H124" s="226" t="n"/>
      <c r="I124" s="226" t="n"/>
      <c r="J124" s="226" t="n"/>
      <c r="K124" s="226" t="n"/>
      <c r="L124" s="226" t="n"/>
      <c r="M124" s="226" t="n"/>
      <c r="N124" s="226" t="n"/>
      <c r="O124" s="419" t="n"/>
      <c r="P124" s="226" t="n"/>
      <c r="Q124" s="226" t="n"/>
      <c r="R124" s="226" t="n"/>
      <c r="S124" s="226" t="n"/>
      <c r="T124" s="337" t="n"/>
      <c r="U124" s="337" t="n"/>
      <c r="V124" s="419" t="n"/>
      <c r="W124" s="419" t="n"/>
      <c r="X124" s="419" t="n"/>
    </row>
    <row r="125">
      <c r="A125" s="4" t="n"/>
      <c r="B125" s="4" t="n"/>
      <c r="C125" s="4" t="n"/>
      <c r="D125" s="4" t="n"/>
      <c r="E125" s="4" t="n"/>
      <c r="F125" s="419" t="n"/>
      <c r="G125" s="440" t="n"/>
      <c r="H125" s="226" t="n"/>
      <c r="I125" s="226" t="n"/>
      <c r="J125" s="226" t="n"/>
      <c r="K125" s="226" t="n"/>
      <c r="L125" s="226" t="n"/>
      <c r="M125" s="226" t="n"/>
      <c r="N125" s="226" t="n"/>
      <c r="O125" s="419" t="n"/>
      <c r="P125" s="226" t="n"/>
      <c r="Q125" s="226" t="n"/>
      <c r="R125" s="226" t="n"/>
      <c r="S125" s="226" t="n"/>
      <c r="T125" s="337" t="n"/>
      <c r="U125" s="337" t="n"/>
      <c r="V125" s="419" t="n"/>
      <c r="W125" s="419" t="n"/>
      <c r="X125" s="419" t="n"/>
    </row>
    <row r="126">
      <c r="A126" s="4" t="n"/>
      <c r="B126" s="4" t="n"/>
      <c r="C126" s="4" t="n"/>
      <c r="D126" s="4" t="n"/>
      <c r="E126" s="4" t="n"/>
      <c r="F126" s="419" t="n"/>
      <c r="G126" s="440" t="n"/>
      <c r="H126" s="226" t="n"/>
      <c r="I126" s="226" t="n"/>
      <c r="J126" s="226" t="n"/>
      <c r="K126" s="226" t="n"/>
      <c r="L126" s="226" t="n"/>
      <c r="M126" s="226" t="n"/>
      <c r="N126" s="226" t="n"/>
      <c r="O126" s="419" t="n"/>
      <c r="P126" s="226" t="n"/>
      <c r="Q126" s="226" t="n"/>
      <c r="R126" s="226" t="n"/>
      <c r="S126" s="226" t="n"/>
      <c r="T126" s="337" t="n"/>
      <c r="U126" s="337" t="n"/>
      <c r="V126" s="419" t="n"/>
      <c r="W126" s="419" t="n"/>
      <c r="X126" s="419" t="n"/>
    </row>
    <row r="127">
      <c r="A127" s="4" t="n"/>
      <c r="B127" s="4" t="n"/>
      <c r="C127" s="4" t="n"/>
      <c r="D127" s="4" t="n"/>
      <c r="E127" s="4" t="n"/>
      <c r="F127" s="419" t="n"/>
      <c r="G127" s="440" t="n"/>
      <c r="H127" s="226" t="n"/>
      <c r="I127" s="226" t="n"/>
      <c r="J127" s="226" t="n"/>
      <c r="K127" s="226" t="n"/>
      <c r="L127" s="226" t="n"/>
      <c r="M127" s="226" t="n"/>
      <c r="N127" s="226" t="n"/>
      <c r="O127" s="419" t="n"/>
      <c r="P127" s="226" t="n"/>
      <c r="Q127" s="226" t="n"/>
      <c r="R127" s="226" t="n"/>
      <c r="S127" s="226" t="n"/>
      <c r="T127" s="337" t="n"/>
      <c r="U127" s="337" t="n"/>
      <c r="V127" s="419" t="n"/>
      <c r="W127" s="419" t="n"/>
      <c r="X127" s="419" t="n"/>
    </row>
    <row r="128">
      <c r="A128" s="4" t="n"/>
      <c r="B128" s="4" t="n"/>
      <c r="C128" s="4" t="n"/>
      <c r="D128" s="4" t="n"/>
      <c r="E128" s="4" t="n"/>
      <c r="F128" s="419" t="n"/>
      <c r="G128" s="440" t="n"/>
      <c r="H128" s="226" t="n"/>
      <c r="I128" s="226" t="n"/>
      <c r="J128" s="226" t="n"/>
      <c r="K128" s="226" t="n"/>
      <c r="L128" s="226" t="n"/>
      <c r="M128" s="226" t="n"/>
      <c r="N128" s="226" t="n"/>
      <c r="O128" s="419" t="n"/>
      <c r="P128" s="226" t="n"/>
      <c r="Q128" s="226" t="n"/>
      <c r="R128" s="226" t="n"/>
      <c r="S128" s="226" t="n"/>
      <c r="T128" s="337" t="n"/>
      <c r="U128" s="337" t="n"/>
      <c r="V128" s="419" t="n"/>
      <c r="W128" s="419" t="n"/>
      <c r="X128" s="419" t="n"/>
    </row>
    <row r="129">
      <c r="A129" s="4" t="n"/>
      <c r="B129" s="4" t="n"/>
      <c r="C129" s="4" t="n"/>
      <c r="D129" s="4" t="n"/>
      <c r="E129" s="4" t="n"/>
      <c r="F129" s="419" t="n"/>
      <c r="G129" s="440" t="n"/>
      <c r="H129" s="226" t="n"/>
      <c r="I129" s="226" t="n"/>
      <c r="J129" s="226" t="n"/>
      <c r="K129" s="226" t="n"/>
      <c r="L129" s="226" t="n"/>
      <c r="M129" s="226" t="n"/>
      <c r="N129" s="226" t="n"/>
      <c r="O129" s="419" t="n"/>
      <c r="P129" s="226" t="n"/>
      <c r="Q129" s="226" t="n"/>
      <c r="R129" s="226" t="n"/>
      <c r="S129" s="226" t="n"/>
      <c r="T129" s="337" t="n"/>
      <c r="U129" s="337" t="n"/>
      <c r="V129" s="419" t="n"/>
      <c r="W129" s="419" t="n"/>
      <c r="X129" s="419" t="n"/>
    </row>
    <row r="130">
      <c r="A130" s="4" t="n"/>
      <c r="B130" s="4" t="n"/>
      <c r="C130" s="4" t="n"/>
      <c r="D130" s="4" t="n"/>
      <c r="E130" s="4" t="n"/>
      <c r="F130" s="419" t="n"/>
      <c r="G130" s="440" t="n"/>
      <c r="H130" s="226" t="n"/>
      <c r="I130" s="226" t="n"/>
      <c r="J130" s="226" t="n"/>
      <c r="K130" s="226" t="n"/>
      <c r="L130" s="226" t="n"/>
      <c r="M130" s="226" t="n"/>
      <c r="N130" s="226" t="n"/>
      <c r="O130" s="419" t="n"/>
      <c r="P130" s="226" t="n"/>
      <c r="Q130" s="226" t="n"/>
      <c r="R130" s="226" t="n"/>
      <c r="S130" s="226" t="n"/>
      <c r="T130" s="337" t="n"/>
      <c r="U130" s="337" t="n"/>
      <c r="V130" s="419" t="n"/>
      <c r="W130" s="419" t="n"/>
      <c r="X130" s="419" t="n"/>
    </row>
    <row r="131">
      <c r="A131" s="4" t="n"/>
      <c r="B131" s="4" t="n"/>
      <c r="C131" s="4" t="n"/>
      <c r="D131" s="4" t="n"/>
      <c r="E131" s="4" t="n"/>
      <c r="F131" s="419" t="n"/>
      <c r="G131" s="440" t="n"/>
      <c r="H131" s="226" t="n"/>
      <c r="I131" s="226" t="n"/>
      <c r="J131" s="226" t="n"/>
      <c r="K131" s="226" t="n"/>
      <c r="L131" s="226" t="n"/>
      <c r="M131" s="226" t="n"/>
      <c r="N131" s="226" t="n"/>
      <c r="O131" s="419" t="n"/>
      <c r="P131" s="226" t="n"/>
      <c r="Q131" s="226" t="n"/>
      <c r="R131" s="226" t="n"/>
      <c r="S131" s="226" t="n"/>
      <c r="T131" s="337" t="n"/>
      <c r="U131" s="337" t="n"/>
      <c r="V131" s="419" t="n"/>
      <c r="W131" s="419" t="n"/>
      <c r="X131" s="419" t="n"/>
    </row>
    <row r="132">
      <c r="A132" s="4" t="n"/>
      <c r="B132" s="4" t="n"/>
      <c r="C132" s="4" t="n"/>
      <c r="D132" s="4" t="n"/>
      <c r="E132" s="4" t="n"/>
      <c r="F132" s="419" t="n"/>
      <c r="G132" s="440" t="n"/>
      <c r="H132" s="226" t="n"/>
      <c r="I132" s="226" t="n"/>
      <c r="J132" s="226" t="n"/>
      <c r="K132" s="226" t="n"/>
      <c r="L132" s="226" t="n"/>
      <c r="M132" s="226" t="n"/>
      <c r="N132" s="226" t="n"/>
      <c r="O132" s="419" t="n"/>
      <c r="P132" s="226" t="n"/>
      <c r="Q132" s="226" t="n"/>
      <c r="R132" s="226" t="n"/>
      <c r="S132" s="226" t="n"/>
      <c r="T132" s="337" t="n"/>
      <c r="U132" s="337" t="n"/>
      <c r="V132" s="419" t="n"/>
      <c r="W132" s="419" t="n"/>
      <c r="X132" s="419" t="n"/>
    </row>
    <row r="133">
      <c r="A133" s="4" t="n"/>
      <c r="B133" s="4" t="n"/>
      <c r="C133" s="4" t="n"/>
      <c r="D133" s="4" t="n"/>
      <c r="E133" s="4" t="n"/>
      <c r="F133" s="419" t="n"/>
      <c r="G133" s="440" t="n"/>
      <c r="H133" s="226" t="n"/>
      <c r="I133" s="226" t="n"/>
      <c r="J133" s="226" t="n"/>
      <c r="K133" s="226" t="n"/>
      <c r="L133" s="226" t="n"/>
      <c r="M133" s="226" t="n"/>
      <c r="N133" s="226" t="n"/>
      <c r="O133" s="419" t="n"/>
      <c r="P133" s="226" t="n"/>
      <c r="Q133" s="226" t="n"/>
      <c r="R133" s="226" t="n"/>
      <c r="S133" s="226" t="n"/>
      <c r="T133" s="337" t="n"/>
      <c r="U133" s="337" t="n"/>
      <c r="V133" s="419" t="n"/>
      <c r="W133" s="419" t="n"/>
      <c r="X133" s="419" t="n"/>
    </row>
    <row r="134">
      <c r="A134" s="4" t="n"/>
      <c r="B134" s="4" t="n"/>
      <c r="C134" s="4" t="n"/>
      <c r="D134" s="4" t="n"/>
      <c r="E134" s="4" t="n"/>
      <c r="F134" s="419" t="n"/>
      <c r="G134" s="440" t="n"/>
      <c r="H134" s="226" t="n"/>
      <c r="I134" s="226" t="n"/>
      <c r="J134" s="226" t="n"/>
      <c r="K134" s="226" t="n"/>
      <c r="L134" s="226" t="n"/>
      <c r="M134" s="226" t="n"/>
      <c r="N134" s="226" t="n"/>
      <c r="O134" s="419" t="n"/>
      <c r="P134" s="226" t="n"/>
      <c r="Q134" s="226" t="n"/>
      <c r="R134" s="226" t="n"/>
      <c r="S134" s="226" t="n"/>
      <c r="T134" s="337" t="n"/>
      <c r="U134" s="337" t="n"/>
      <c r="V134" s="419" t="n"/>
      <c r="W134" s="419" t="n"/>
      <c r="X134" s="419" t="n"/>
    </row>
    <row r="135">
      <c r="A135" s="4" t="n"/>
      <c r="B135" s="4" t="n"/>
      <c r="C135" s="4" t="n"/>
      <c r="D135" s="4" t="n"/>
      <c r="E135" s="4" t="n"/>
      <c r="F135" s="419" t="n"/>
      <c r="G135" s="440" t="n"/>
      <c r="H135" s="226" t="n"/>
      <c r="I135" s="226" t="n"/>
      <c r="J135" s="226" t="n"/>
      <c r="K135" s="226" t="n"/>
      <c r="L135" s="226" t="n"/>
      <c r="M135" s="226" t="n"/>
      <c r="N135" s="226" t="n"/>
      <c r="O135" s="419" t="n"/>
      <c r="P135" s="226" t="n"/>
      <c r="Q135" s="226" t="n"/>
      <c r="R135" s="226" t="n"/>
      <c r="S135" s="226" t="n"/>
      <c r="T135" s="337" t="n"/>
      <c r="U135" s="337" t="n"/>
      <c r="V135" s="419" t="n"/>
      <c r="W135" s="419" t="n"/>
      <c r="X135" s="419" t="n"/>
    </row>
    <row r="136">
      <c r="A136" s="4" t="n"/>
      <c r="B136" s="4" t="n"/>
      <c r="C136" s="4" t="n"/>
      <c r="D136" s="4" t="n"/>
      <c r="E136" s="4" t="n"/>
      <c r="F136" s="419" t="n"/>
      <c r="G136" s="440" t="n"/>
      <c r="H136" s="226" t="n"/>
      <c r="I136" s="226" t="n"/>
      <c r="J136" s="226" t="n"/>
      <c r="K136" s="226" t="n"/>
      <c r="L136" s="226" t="n"/>
      <c r="M136" s="226" t="n"/>
      <c r="N136" s="226" t="n"/>
      <c r="O136" s="419" t="n"/>
      <c r="P136" s="226" t="n"/>
      <c r="Q136" s="226" t="n"/>
      <c r="R136" s="226" t="n"/>
      <c r="S136" s="226" t="n"/>
      <c r="T136" s="337" t="n"/>
      <c r="U136" s="337" t="n"/>
      <c r="V136" s="419" t="n"/>
      <c r="W136" s="419" t="n"/>
      <c r="X136" s="419" t="n"/>
    </row>
    <row r="137">
      <c r="A137" s="4" t="n"/>
      <c r="B137" s="4" t="n"/>
      <c r="C137" s="4" t="n"/>
      <c r="D137" s="4" t="n"/>
      <c r="E137" s="4" t="n"/>
      <c r="F137" s="419" t="n"/>
      <c r="G137" s="440" t="n"/>
      <c r="H137" s="226" t="n"/>
      <c r="I137" s="226" t="n"/>
      <c r="J137" s="226" t="n"/>
      <c r="K137" s="226" t="n"/>
      <c r="L137" s="226" t="n"/>
      <c r="M137" s="226" t="n"/>
      <c r="N137" s="226" t="n"/>
      <c r="O137" s="419" t="n"/>
      <c r="P137" s="226" t="n"/>
      <c r="Q137" s="226" t="n"/>
      <c r="R137" s="226" t="n"/>
      <c r="S137" s="226" t="n"/>
      <c r="T137" s="337" t="n"/>
      <c r="U137" s="337" t="n"/>
      <c r="V137" s="419" t="n"/>
      <c r="W137" s="419" t="n"/>
      <c r="X137" s="419" t="n"/>
    </row>
    <row r="138">
      <c r="A138" s="4" t="n"/>
      <c r="B138" s="4" t="n"/>
      <c r="C138" s="4" t="n"/>
      <c r="D138" s="4" t="n"/>
      <c r="E138" s="4" t="n"/>
      <c r="F138" s="419" t="n"/>
      <c r="G138" s="440" t="n"/>
      <c r="H138" s="226" t="n"/>
      <c r="I138" s="226" t="n"/>
      <c r="J138" s="226" t="n"/>
      <c r="K138" s="226" t="n"/>
      <c r="L138" s="226" t="n"/>
      <c r="M138" s="226" t="n"/>
      <c r="N138" s="226" t="n"/>
      <c r="O138" s="419" t="n"/>
      <c r="P138" s="226" t="n"/>
      <c r="Q138" s="226" t="n"/>
      <c r="R138" s="226" t="n"/>
      <c r="S138" s="226" t="n"/>
      <c r="T138" s="337" t="n"/>
      <c r="U138" s="337" t="n"/>
      <c r="V138" s="419" t="n"/>
      <c r="W138" s="419" t="n"/>
      <c r="X138" s="419" t="n"/>
    </row>
    <row r="139">
      <c r="A139" s="4" t="n"/>
      <c r="B139" s="4" t="n"/>
      <c r="C139" s="4" t="n"/>
      <c r="D139" s="4" t="n"/>
      <c r="E139" s="4" t="n"/>
      <c r="F139" s="419" t="n"/>
      <c r="G139" s="440" t="n"/>
      <c r="H139" s="226" t="n"/>
      <c r="I139" s="226" t="n"/>
      <c r="J139" s="226" t="n"/>
      <c r="K139" s="226" t="n"/>
      <c r="L139" s="226" t="n"/>
      <c r="M139" s="226" t="n"/>
      <c r="N139" s="226" t="n"/>
      <c r="O139" s="419" t="n"/>
      <c r="P139" s="226" t="n"/>
      <c r="Q139" s="226" t="n"/>
      <c r="R139" s="226" t="n"/>
      <c r="S139" s="226" t="n"/>
      <c r="T139" s="337" t="n"/>
      <c r="U139" s="337" t="n"/>
      <c r="V139" s="419" t="n"/>
      <c r="W139" s="419" t="n"/>
      <c r="X139" s="419" t="n"/>
    </row>
    <row r="140">
      <c r="A140" s="4" t="n"/>
      <c r="B140" s="4" t="n"/>
      <c r="C140" s="4" t="n"/>
      <c r="D140" s="4" t="n"/>
      <c r="E140" s="4" t="n"/>
      <c r="F140" s="419" t="n"/>
      <c r="G140" s="440" t="n"/>
      <c r="H140" s="226" t="n"/>
      <c r="I140" s="226" t="n"/>
      <c r="J140" s="226" t="n"/>
      <c r="K140" s="226" t="n"/>
      <c r="L140" s="226" t="n"/>
      <c r="M140" s="226" t="n"/>
      <c r="N140" s="226" t="n"/>
      <c r="O140" s="419" t="n"/>
      <c r="P140" s="226" t="n"/>
      <c r="Q140" s="226" t="n"/>
      <c r="R140" s="226" t="n"/>
      <c r="S140" s="226" t="n"/>
      <c r="T140" s="337" t="n"/>
      <c r="U140" s="337" t="n"/>
      <c r="V140" s="419" t="n"/>
      <c r="W140" s="419" t="n"/>
      <c r="X140" s="419" t="n"/>
    </row>
    <row r="141">
      <c r="A141" s="4" t="n"/>
      <c r="B141" s="4" t="n"/>
      <c r="C141" s="4" t="n"/>
      <c r="D141" s="4" t="n"/>
      <c r="E141" s="4" t="n"/>
      <c r="F141" s="419" t="n"/>
      <c r="G141" s="440" t="n"/>
      <c r="H141" s="226" t="n"/>
      <c r="I141" s="226" t="n"/>
      <c r="J141" s="226" t="n"/>
      <c r="K141" s="226" t="n"/>
      <c r="L141" s="226" t="n"/>
      <c r="M141" s="226" t="n"/>
      <c r="N141" s="226" t="n"/>
      <c r="O141" s="419" t="n"/>
      <c r="P141" s="226" t="n"/>
      <c r="Q141" s="226" t="n"/>
      <c r="R141" s="226" t="n"/>
      <c r="S141" s="226" t="n"/>
      <c r="T141" s="337" t="n"/>
      <c r="U141" s="337" t="n"/>
      <c r="V141" s="419" t="n"/>
      <c r="W141" s="419" t="n"/>
      <c r="X141" s="419" t="n"/>
    </row>
    <row r="142">
      <c r="A142" s="4" t="n"/>
      <c r="B142" s="4" t="n"/>
      <c r="C142" s="4" t="n"/>
      <c r="D142" s="4" t="n"/>
      <c r="E142" s="4" t="n"/>
      <c r="F142" s="419" t="n"/>
      <c r="G142" s="440" t="n"/>
      <c r="H142" s="226" t="n"/>
      <c r="I142" s="226" t="n"/>
      <c r="J142" s="226" t="n"/>
      <c r="K142" s="226" t="n"/>
      <c r="L142" s="226" t="n"/>
      <c r="M142" s="226" t="n"/>
      <c r="N142" s="226" t="n"/>
      <c r="O142" s="419" t="n"/>
      <c r="P142" s="226" t="n"/>
      <c r="Q142" s="226" t="n"/>
      <c r="R142" s="226" t="n"/>
      <c r="S142" s="226" t="n"/>
      <c r="T142" s="337" t="n"/>
      <c r="U142" s="337" t="n"/>
      <c r="V142" s="419" t="n"/>
      <c r="W142" s="419" t="n"/>
      <c r="X142" s="419" t="n"/>
    </row>
    <row r="143">
      <c r="A143" s="4" t="n"/>
      <c r="B143" s="4" t="n"/>
      <c r="C143" s="4" t="n"/>
      <c r="D143" s="4" t="n"/>
      <c r="E143" s="4" t="n"/>
      <c r="F143" s="419" t="n"/>
      <c r="G143" s="440" t="n"/>
      <c r="H143" s="226" t="n"/>
      <c r="I143" s="226" t="n"/>
      <c r="J143" s="226" t="n"/>
      <c r="K143" s="226" t="n"/>
      <c r="L143" s="226" t="n"/>
      <c r="M143" s="226" t="n"/>
      <c r="N143" s="226" t="n"/>
      <c r="O143" s="419" t="n"/>
      <c r="P143" s="226" t="n"/>
      <c r="Q143" s="226" t="n"/>
      <c r="R143" s="226" t="n"/>
      <c r="S143" s="226" t="n"/>
      <c r="T143" s="337" t="n"/>
      <c r="U143" s="337" t="n"/>
      <c r="V143" s="419" t="n"/>
      <c r="W143" s="419" t="n"/>
      <c r="X143" s="419" t="n"/>
    </row>
    <row r="144">
      <c r="A144" s="4" t="n"/>
      <c r="B144" s="4" t="n"/>
      <c r="C144" s="4" t="n"/>
      <c r="D144" s="4" t="n"/>
      <c r="E144" s="4" t="n"/>
      <c r="F144" s="419" t="n"/>
      <c r="G144" s="440" t="n"/>
      <c r="H144" s="226" t="n"/>
      <c r="I144" s="226" t="n"/>
      <c r="J144" s="226" t="n"/>
      <c r="K144" s="226" t="n"/>
      <c r="L144" s="226" t="n"/>
      <c r="M144" s="226" t="n"/>
      <c r="N144" s="226" t="n"/>
      <c r="O144" s="419" t="n"/>
      <c r="P144" s="226" t="n"/>
      <c r="Q144" s="226" t="n"/>
      <c r="R144" s="226" t="n"/>
      <c r="S144" s="226" t="n"/>
      <c r="T144" s="337" t="n"/>
      <c r="U144" s="337" t="n"/>
      <c r="V144" s="419" t="n"/>
      <c r="W144" s="419" t="n"/>
      <c r="X144" s="419" t="n"/>
    </row>
    <row r="145">
      <c r="A145" s="4" t="n"/>
      <c r="B145" s="4" t="n"/>
      <c r="C145" s="4" t="n"/>
      <c r="D145" s="4" t="n"/>
      <c r="E145" s="4" t="n"/>
      <c r="F145" s="419" t="n"/>
      <c r="G145" s="440" t="n"/>
      <c r="H145" s="226" t="n"/>
      <c r="I145" s="226" t="n"/>
      <c r="J145" s="226" t="n"/>
      <c r="K145" s="226" t="n"/>
      <c r="L145" s="226" t="n"/>
      <c r="M145" s="226" t="n"/>
      <c r="N145" s="226" t="n"/>
      <c r="O145" s="419" t="n"/>
      <c r="P145" s="226" t="n"/>
      <c r="Q145" s="226" t="n"/>
      <c r="R145" s="226" t="n"/>
      <c r="S145" s="226" t="n"/>
      <c r="T145" s="337" t="n"/>
      <c r="U145" s="337" t="n"/>
      <c r="V145" s="419" t="n"/>
      <c r="W145" s="419" t="n"/>
      <c r="X145" s="419" t="n"/>
    </row>
    <row r="146">
      <c r="A146" s="4" t="n"/>
      <c r="B146" s="4" t="n"/>
      <c r="C146" s="4" t="n"/>
      <c r="D146" s="4" t="n"/>
      <c r="E146" s="4" t="n"/>
      <c r="F146" s="419" t="n"/>
      <c r="G146" s="440" t="n"/>
      <c r="H146" s="226" t="n"/>
      <c r="I146" s="226" t="n"/>
      <c r="J146" s="226" t="n"/>
      <c r="K146" s="226" t="n"/>
      <c r="L146" s="226" t="n"/>
      <c r="M146" s="226" t="n"/>
      <c r="N146" s="226" t="n"/>
      <c r="O146" s="419" t="n"/>
      <c r="P146" s="226" t="n"/>
      <c r="Q146" s="226" t="n"/>
      <c r="R146" s="226" t="n"/>
      <c r="S146" s="226" t="n"/>
      <c r="T146" s="337" t="n"/>
      <c r="U146" s="337" t="n"/>
      <c r="V146" s="419" t="n"/>
      <c r="W146" s="419" t="n"/>
      <c r="X146" s="419" t="n"/>
    </row>
    <row r="147">
      <c r="A147" s="4" t="n"/>
      <c r="B147" s="4" t="n"/>
      <c r="C147" s="4" t="n"/>
      <c r="D147" s="4" t="n"/>
      <c r="E147" s="4" t="n"/>
      <c r="F147" s="419" t="n"/>
      <c r="G147" s="440" t="n"/>
      <c r="H147" s="226" t="n"/>
      <c r="I147" s="226" t="n"/>
      <c r="J147" s="226" t="n"/>
      <c r="K147" s="226" t="n"/>
      <c r="L147" s="226" t="n"/>
      <c r="M147" s="226" t="n"/>
      <c r="N147" s="226" t="n"/>
      <c r="O147" s="419" t="n"/>
      <c r="P147" s="226" t="n"/>
      <c r="Q147" s="226" t="n"/>
      <c r="R147" s="226" t="n"/>
      <c r="S147" s="226" t="n"/>
      <c r="T147" s="337" t="n"/>
      <c r="U147" s="337" t="n"/>
      <c r="V147" s="419" t="n"/>
      <c r="W147" s="419" t="n"/>
      <c r="X147" s="419" t="n"/>
    </row>
    <row r="148">
      <c r="A148" s="4" t="n"/>
      <c r="B148" s="4" t="n"/>
      <c r="C148" s="4" t="n"/>
      <c r="D148" s="4" t="n"/>
      <c r="E148" s="4" t="n"/>
      <c r="F148" s="419" t="n"/>
      <c r="G148" s="440" t="n"/>
      <c r="H148" s="226" t="n"/>
      <c r="I148" s="226" t="n"/>
      <c r="J148" s="226" t="n"/>
      <c r="K148" s="226" t="n"/>
      <c r="L148" s="226" t="n"/>
      <c r="M148" s="226" t="n"/>
      <c r="N148" s="226" t="n"/>
      <c r="O148" s="419" t="n"/>
      <c r="P148" s="226" t="n"/>
      <c r="Q148" s="226" t="n"/>
      <c r="R148" s="226" t="n"/>
      <c r="S148" s="226" t="n"/>
      <c r="T148" s="337" t="n"/>
      <c r="U148" s="337" t="n"/>
      <c r="V148" s="419" t="n"/>
      <c r="W148" s="419" t="n"/>
      <c r="X148" s="419" t="n"/>
    </row>
    <row r="149">
      <c r="A149" s="4" t="n"/>
      <c r="B149" s="4" t="n"/>
      <c r="C149" s="4" t="n"/>
      <c r="D149" s="4" t="n"/>
      <c r="E149" s="4" t="n"/>
      <c r="F149" s="419" t="n"/>
      <c r="G149" s="440" t="n"/>
      <c r="H149" s="226" t="n"/>
      <c r="I149" s="226" t="n"/>
      <c r="J149" s="226" t="n"/>
      <c r="K149" s="226" t="n"/>
      <c r="L149" s="226" t="n"/>
      <c r="M149" s="226" t="n"/>
      <c r="N149" s="226" t="n"/>
      <c r="O149" s="419" t="n"/>
      <c r="P149" s="226" t="n"/>
      <c r="Q149" s="226" t="n"/>
      <c r="R149" s="226" t="n"/>
      <c r="S149" s="226" t="n"/>
      <c r="T149" s="337" t="n"/>
      <c r="U149" s="337" t="n"/>
      <c r="V149" s="419" t="n"/>
      <c r="W149" s="419" t="n"/>
      <c r="X149" s="419" t="n"/>
    </row>
    <row r="150">
      <c r="A150" s="4" t="n"/>
      <c r="B150" s="4" t="n"/>
      <c r="C150" s="4" t="n"/>
      <c r="D150" s="4" t="n"/>
      <c r="E150" s="4" t="n"/>
      <c r="F150" s="419" t="n"/>
      <c r="G150" s="440" t="n"/>
      <c r="H150" s="226" t="n"/>
      <c r="I150" s="226" t="n"/>
      <c r="J150" s="226" t="n"/>
      <c r="K150" s="226" t="n"/>
      <c r="L150" s="226" t="n"/>
      <c r="M150" s="226" t="n"/>
      <c r="N150" s="226" t="n"/>
      <c r="O150" s="419" t="n"/>
      <c r="P150" s="226" t="n"/>
      <c r="Q150" s="226" t="n"/>
      <c r="R150" s="226" t="n"/>
      <c r="S150" s="226" t="n"/>
      <c r="T150" s="337" t="n"/>
      <c r="U150" s="337" t="n"/>
      <c r="V150" s="419" t="n"/>
      <c r="W150" s="419" t="n"/>
      <c r="X150" s="419" t="n"/>
    </row>
    <row r="151">
      <c r="A151" s="4" t="n"/>
      <c r="B151" s="4" t="n"/>
      <c r="C151" s="4" t="n"/>
      <c r="D151" s="4" t="n"/>
      <c r="E151" s="4" t="n"/>
      <c r="F151" s="419" t="n"/>
      <c r="G151" s="440" t="n"/>
      <c r="H151" s="226" t="n"/>
      <c r="I151" s="226" t="n"/>
      <c r="J151" s="226" t="n"/>
      <c r="K151" s="226" t="n"/>
      <c r="L151" s="226" t="n"/>
      <c r="M151" s="226" t="n"/>
      <c r="N151" s="226" t="n"/>
      <c r="O151" s="419" t="n"/>
      <c r="P151" s="226" t="n"/>
      <c r="Q151" s="226" t="n"/>
      <c r="R151" s="226" t="n"/>
      <c r="S151" s="226" t="n"/>
      <c r="T151" s="337" t="n"/>
      <c r="U151" s="337" t="n"/>
      <c r="V151" s="419" t="n"/>
      <c r="W151" s="419" t="n"/>
      <c r="X151" s="419" t="n"/>
    </row>
    <row r="152">
      <c r="A152" s="4" t="n"/>
      <c r="B152" s="4" t="n"/>
      <c r="C152" s="4" t="n"/>
      <c r="D152" s="4" t="n"/>
      <c r="E152" s="4" t="n"/>
      <c r="F152" s="419" t="n"/>
      <c r="G152" s="440" t="n"/>
      <c r="H152" s="226" t="n"/>
      <c r="I152" s="226" t="n"/>
      <c r="J152" s="226" t="n"/>
      <c r="K152" s="226" t="n"/>
      <c r="L152" s="226" t="n"/>
      <c r="M152" s="226" t="n"/>
      <c r="N152" s="226" t="n"/>
      <c r="O152" s="419" t="n"/>
      <c r="P152" s="226" t="n"/>
      <c r="Q152" s="226" t="n"/>
      <c r="R152" s="226" t="n"/>
      <c r="S152" s="226" t="n"/>
      <c r="T152" s="337" t="n"/>
      <c r="U152" s="337" t="n"/>
      <c r="V152" s="419" t="n"/>
      <c r="W152" s="419" t="n"/>
      <c r="X152" s="419" t="n"/>
    </row>
    <row r="153">
      <c r="A153" s="4" t="n"/>
      <c r="B153" s="4" t="n"/>
      <c r="C153" s="4" t="n"/>
      <c r="D153" s="4" t="n"/>
      <c r="E153" s="4" t="n"/>
      <c r="F153" s="419" t="n"/>
      <c r="G153" s="440" t="n"/>
      <c r="H153" s="226" t="n"/>
      <c r="I153" s="226" t="n"/>
      <c r="J153" s="226" t="n"/>
      <c r="K153" s="226" t="n"/>
      <c r="L153" s="226" t="n"/>
      <c r="M153" s="226" t="n"/>
      <c r="N153" s="226" t="n"/>
      <c r="O153" s="419" t="n"/>
      <c r="P153" s="226" t="n"/>
      <c r="Q153" s="226" t="n"/>
      <c r="R153" s="226" t="n"/>
      <c r="S153" s="226" t="n"/>
      <c r="T153" s="337" t="n"/>
      <c r="U153" s="337" t="n"/>
      <c r="V153" s="419" t="n"/>
      <c r="W153" s="419" t="n"/>
      <c r="X153" s="419" t="n"/>
    </row>
    <row r="154">
      <c r="A154" s="4" t="n"/>
      <c r="B154" s="4" t="n"/>
      <c r="C154" s="4" t="n"/>
      <c r="D154" s="4" t="n"/>
      <c r="E154" s="4" t="n"/>
      <c r="F154" s="419" t="n"/>
      <c r="G154" s="440" t="n"/>
      <c r="H154" s="226" t="n"/>
      <c r="I154" s="226" t="n"/>
      <c r="J154" s="226" t="n"/>
      <c r="K154" s="226" t="n"/>
      <c r="L154" s="226" t="n"/>
      <c r="M154" s="226" t="n"/>
      <c r="N154" s="226" t="n"/>
      <c r="O154" s="419" t="n"/>
      <c r="P154" s="226" t="n"/>
      <c r="Q154" s="226" t="n"/>
      <c r="R154" s="226" t="n"/>
      <c r="S154" s="226" t="n"/>
      <c r="T154" s="337" t="n"/>
      <c r="U154" s="337" t="n"/>
      <c r="V154" s="419" t="n"/>
      <c r="W154" s="419" t="n"/>
      <c r="X154" s="419" t="n"/>
    </row>
    <row r="155">
      <c r="A155" s="4" t="n"/>
      <c r="B155" s="4" t="n"/>
      <c r="C155" s="4" t="n"/>
      <c r="D155" s="4" t="n"/>
      <c r="E155" s="4" t="n"/>
      <c r="F155" s="419" t="n"/>
      <c r="G155" s="440" t="n"/>
      <c r="H155" s="226" t="n"/>
      <c r="I155" s="226" t="n"/>
      <c r="J155" s="226" t="n"/>
      <c r="K155" s="226" t="n"/>
      <c r="L155" s="226" t="n"/>
      <c r="M155" s="226" t="n"/>
      <c r="N155" s="226" t="n"/>
      <c r="O155" s="419" t="n"/>
      <c r="P155" s="226" t="n"/>
      <c r="Q155" s="226" t="n"/>
      <c r="R155" s="226" t="n"/>
      <c r="S155" s="226" t="n"/>
      <c r="T155" s="337" t="n"/>
      <c r="U155" s="337" t="n"/>
      <c r="V155" s="419" t="n"/>
      <c r="W155" s="419" t="n"/>
      <c r="X155" s="419" t="n"/>
    </row>
    <row r="156">
      <c r="A156" s="4" t="n"/>
      <c r="B156" s="4" t="n"/>
      <c r="C156" s="4" t="n"/>
      <c r="D156" s="4" t="n"/>
      <c r="E156" s="4" t="n"/>
      <c r="F156" s="419" t="n"/>
      <c r="G156" s="440" t="n"/>
      <c r="H156" s="226" t="n"/>
      <c r="I156" s="226" t="n"/>
      <c r="J156" s="226" t="n"/>
      <c r="K156" s="226" t="n"/>
      <c r="L156" s="226" t="n"/>
      <c r="M156" s="226" t="n"/>
      <c r="N156" s="226" t="n"/>
      <c r="O156" s="419" t="n"/>
      <c r="P156" s="226" t="n"/>
      <c r="Q156" s="226" t="n"/>
      <c r="R156" s="226" t="n"/>
      <c r="S156" s="226" t="n"/>
      <c r="T156" s="337" t="n"/>
      <c r="U156" s="337" t="n"/>
      <c r="V156" s="419" t="n"/>
      <c r="W156" s="419" t="n"/>
      <c r="X156" s="419" t="n"/>
    </row>
    <row r="157">
      <c r="A157" s="4" t="n"/>
      <c r="B157" s="4" t="n"/>
      <c r="C157" s="4" t="n"/>
      <c r="D157" s="4" t="n"/>
      <c r="E157" s="4" t="n"/>
      <c r="F157" s="419" t="n"/>
      <c r="G157" s="440" t="n"/>
      <c r="H157" s="226" t="n"/>
      <c r="I157" s="226" t="n"/>
      <c r="J157" s="226" t="n"/>
      <c r="K157" s="226" t="n"/>
      <c r="L157" s="226" t="n"/>
      <c r="M157" s="226" t="n"/>
      <c r="N157" s="226" t="n"/>
      <c r="O157" s="419" t="n"/>
      <c r="P157" s="226" t="n"/>
      <c r="Q157" s="226" t="n"/>
      <c r="R157" s="226" t="n"/>
      <c r="S157" s="226" t="n"/>
      <c r="T157" s="337" t="n"/>
      <c r="U157" s="337" t="n"/>
      <c r="V157" s="419" t="n"/>
      <c r="W157" s="419" t="n"/>
      <c r="X157" s="419" t="n"/>
    </row>
    <row r="158">
      <c r="A158" s="4" t="n"/>
      <c r="B158" s="4" t="n"/>
      <c r="C158" s="4" t="n"/>
      <c r="D158" s="4" t="n"/>
      <c r="E158" s="4" t="n"/>
      <c r="F158" s="419" t="n"/>
      <c r="G158" s="440" t="n"/>
      <c r="H158" s="226" t="n"/>
      <c r="I158" s="226" t="n"/>
      <c r="J158" s="226" t="n"/>
      <c r="K158" s="226" t="n"/>
      <c r="L158" s="226" t="n"/>
      <c r="M158" s="226" t="n"/>
      <c r="N158" s="226" t="n"/>
      <c r="O158" s="419" t="n"/>
      <c r="P158" s="226" t="n"/>
      <c r="Q158" s="226" t="n"/>
      <c r="R158" s="226" t="n"/>
      <c r="S158" s="226" t="n"/>
      <c r="T158" s="337" t="n"/>
      <c r="U158" s="337" t="n"/>
      <c r="V158" s="419" t="n"/>
      <c r="W158" s="419" t="n"/>
      <c r="X158" s="419" t="n"/>
    </row>
    <row r="159">
      <c r="A159" s="4" t="n"/>
      <c r="B159" s="4" t="n"/>
      <c r="C159" s="4" t="n"/>
      <c r="D159" s="4" t="n"/>
      <c r="E159" s="4" t="n"/>
      <c r="F159" s="419" t="n"/>
      <c r="G159" s="440" t="n"/>
      <c r="H159" s="226" t="n"/>
      <c r="I159" s="226" t="n"/>
      <c r="J159" s="226" t="n"/>
      <c r="K159" s="226" t="n"/>
      <c r="L159" s="226" t="n"/>
      <c r="M159" s="226" t="n"/>
      <c r="N159" s="226" t="n"/>
      <c r="O159" s="419" t="n"/>
      <c r="P159" s="226" t="n"/>
      <c r="Q159" s="226" t="n"/>
      <c r="R159" s="226" t="n"/>
      <c r="S159" s="226" t="n"/>
      <c r="T159" s="337" t="n"/>
      <c r="U159" s="337" t="n"/>
      <c r="V159" s="419" t="n"/>
      <c r="W159" s="419" t="n"/>
      <c r="X159" s="419" t="n"/>
    </row>
    <row r="160">
      <c r="A160" s="4" t="n"/>
      <c r="B160" s="4" t="n"/>
      <c r="C160" s="4" t="n"/>
      <c r="D160" s="4" t="n"/>
      <c r="E160" s="4" t="n"/>
      <c r="F160" s="419" t="n"/>
      <c r="G160" s="440" t="n"/>
      <c r="H160" s="226" t="n"/>
      <c r="I160" s="226" t="n"/>
      <c r="J160" s="226" t="n"/>
      <c r="K160" s="226" t="n"/>
      <c r="L160" s="226" t="n"/>
      <c r="M160" s="226" t="n"/>
      <c r="N160" s="226" t="n"/>
      <c r="O160" s="419" t="n"/>
      <c r="P160" s="226" t="n"/>
      <c r="Q160" s="226" t="n"/>
      <c r="R160" s="226" t="n"/>
      <c r="S160" s="226" t="n"/>
      <c r="T160" s="337" t="n"/>
      <c r="U160" s="337" t="n"/>
      <c r="V160" s="419" t="n"/>
      <c r="W160" s="419" t="n"/>
      <c r="X160" s="419" t="n"/>
    </row>
    <row r="161">
      <c r="A161" s="4" t="n"/>
      <c r="B161" s="4" t="n"/>
      <c r="C161" s="4" t="n"/>
      <c r="D161" s="4" t="n"/>
      <c r="E161" s="4" t="n"/>
      <c r="F161" s="419" t="n"/>
      <c r="G161" s="440" t="n"/>
      <c r="H161" s="226" t="n"/>
      <c r="I161" s="226" t="n"/>
      <c r="J161" s="226" t="n"/>
      <c r="K161" s="226" t="n"/>
      <c r="L161" s="226" t="n"/>
      <c r="M161" s="226" t="n"/>
      <c r="N161" s="226" t="n"/>
      <c r="O161" s="419" t="n"/>
      <c r="P161" s="226" t="n"/>
      <c r="Q161" s="226" t="n"/>
      <c r="R161" s="226" t="n"/>
      <c r="S161" s="226" t="n"/>
      <c r="T161" s="337" t="n"/>
      <c r="U161" s="337" t="n"/>
      <c r="V161" s="419" t="n"/>
      <c r="W161" s="419" t="n"/>
      <c r="X161" s="419" t="n"/>
    </row>
    <row r="162">
      <c r="A162" s="4" t="n"/>
      <c r="B162" s="4" t="n"/>
      <c r="C162" s="4" t="n"/>
      <c r="D162" s="4" t="n"/>
      <c r="E162" s="4" t="n"/>
      <c r="F162" s="419" t="n"/>
      <c r="G162" s="440" t="n"/>
      <c r="H162" s="226" t="n"/>
      <c r="I162" s="226" t="n"/>
      <c r="J162" s="226" t="n"/>
      <c r="K162" s="226" t="n"/>
      <c r="L162" s="226" t="n"/>
      <c r="M162" s="226" t="n"/>
      <c r="N162" s="226" t="n"/>
      <c r="O162" s="419" t="n"/>
      <c r="P162" s="226" t="n"/>
      <c r="Q162" s="226" t="n"/>
      <c r="R162" s="226" t="n"/>
      <c r="S162" s="226" t="n"/>
      <c r="T162" s="337" t="n"/>
      <c r="U162" s="337" t="n"/>
      <c r="V162" s="419" t="n"/>
      <c r="W162" s="419" t="n"/>
      <c r="X162" s="419" t="n"/>
    </row>
    <row r="163">
      <c r="A163" s="4" t="n"/>
      <c r="B163" s="4" t="n"/>
      <c r="C163" s="4" t="n"/>
      <c r="D163" s="4" t="n"/>
      <c r="E163" s="4" t="n"/>
      <c r="F163" s="419" t="n"/>
      <c r="G163" s="440" t="n"/>
      <c r="H163" s="226" t="n"/>
      <c r="I163" s="226" t="n"/>
      <c r="J163" s="226" t="n"/>
      <c r="K163" s="226" t="n"/>
      <c r="L163" s="226" t="n"/>
      <c r="M163" s="226" t="n"/>
      <c r="N163" s="226" t="n"/>
      <c r="O163" s="419" t="n"/>
      <c r="P163" s="226" t="n"/>
      <c r="Q163" s="226" t="n"/>
      <c r="R163" s="226" t="n"/>
      <c r="S163" s="226" t="n"/>
      <c r="T163" s="337" t="n"/>
      <c r="U163" s="337" t="n"/>
      <c r="V163" s="419" t="n"/>
      <c r="W163" s="419" t="n"/>
      <c r="X163" s="419" t="n"/>
    </row>
    <row r="164">
      <c r="A164" s="4" t="n"/>
      <c r="B164" s="4" t="n"/>
      <c r="C164" s="4" t="n"/>
      <c r="D164" s="4" t="n"/>
      <c r="E164" s="4" t="n"/>
      <c r="F164" s="419" t="n"/>
      <c r="G164" s="440" t="n"/>
      <c r="H164" s="226" t="n"/>
      <c r="I164" s="226" t="n"/>
      <c r="J164" s="226" t="n"/>
      <c r="K164" s="226" t="n"/>
      <c r="L164" s="226" t="n"/>
      <c r="M164" s="226" t="n"/>
      <c r="N164" s="226" t="n"/>
      <c r="O164" s="419" t="n"/>
      <c r="P164" s="226" t="n"/>
      <c r="Q164" s="226" t="n"/>
      <c r="R164" s="226" t="n"/>
      <c r="S164" s="226" t="n"/>
      <c r="T164" s="337" t="n"/>
      <c r="U164" s="337" t="n"/>
      <c r="V164" s="419" t="n"/>
      <c r="W164" s="419" t="n"/>
      <c r="X164" s="419" t="n"/>
    </row>
    <row r="165">
      <c r="A165" s="4" t="n"/>
      <c r="B165" s="4" t="n"/>
      <c r="C165" s="4" t="n"/>
      <c r="D165" s="4" t="n"/>
      <c r="E165" s="4" t="n"/>
      <c r="F165" s="419" t="n"/>
      <c r="G165" s="440" t="n"/>
      <c r="H165" s="226" t="n"/>
      <c r="I165" s="226" t="n"/>
      <c r="J165" s="226" t="n"/>
      <c r="K165" s="226" t="n"/>
      <c r="L165" s="226" t="n"/>
      <c r="M165" s="226" t="n"/>
      <c r="N165" s="226" t="n"/>
      <c r="O165" s="419" t="n"/>
      <c r="P165" s="226" t="n"/>
      <c r="Q165" s="226" t="n"/>
      <c r="R165" s="226" t="n"/>
      <c r="S165" s="226" t="n"/>
      <c r="T165" s="337" t="n"/>
      <c r="U165" s="337" t="n"/>
      <c r="V165" s="419" t="n"/>
      <c r="W165" s="419" t="n"/>
      <c r="X165" s="419" t="n"/>
    </row>
    <row r="166">
      <c r="A166" s="4" t="n"/>
      <c r="B166" s="4" t="n"/>
      <c r="C166" s="4" t="n"/>
      <c r="D166" s="4" t="n"/>
      <c r="E166" s="4" t="n"/>
      <c r="F166" s="419" t="n"/>
      <c r="G166" s="440" t="n"/>
      <c r="H166" s="226" t="n"/>
      <c r="I166" s="226" t="n"/>
      <c r="J166" s="226" t="n"/>
      <c r="K166" s="226" t="n"/>
      <c r="L166" s="226" t="n"/>
      <c r="M166" s="226" t="n"/>
      <c r="N166" s="226" t="n"/>
      <c r="O166" s="419" t="n"/>
      <c r="P166" s="226" t="n"/>
      <c r="Q166" s="226" t="n"/>
      <c r="R166" s="226" t="n"/>
      <c r="S166" s="226" t="n"/>
      <c r="T166" s="337" t="n"/>
      <c r="U166" s="337" t="n"/>
      <c r="V166" s="419" t="n"/>
      <c r="W166" s="419" t="n"/>
      <c r="X166" s="419" t="n"/>
    </row>
    <row r="167">
      <c r="A167" s="4" t="n"/>
      <c r="B167" s="4" t="n"/>
      <c r="C167" s="4" t="n"/>
      <c r="D167" s="4" t="n"/>
      <c r="E167" s="4" t="n"/>
      <c r="F167" s="419" t="n"/>
      <c r="G167" s="440" t="n"/>
      <c r="H167" s="226" t="n"/>
      <c r="I167" s="226" t="n"/>
      <c r="J167" s="226" t="n"/>
      <c r="K167" s="226" t="n"/>
      <c r="L167" s="226" t="n"/>
      <c r="M167" s="226" t="n"/>
      <c r="N167" s="226" t="n"/>
      <c r="O167" s="419" t="n"/>
      <c r="P167" s="226" t="n"/>
      <c r="Q167" s="226" t="n"/>
      <c r="R167" s="226" t="n"/>
      <c r="S167" s="226" t="n"/>
      <c r="T167" s="337" t="n"/>
      <c r="U167" s="337" t="n"/>
      <c r="V167" s="419" t="n"/>
      <c r="W167" s="419" t="n"/>
      <c r="X167" s="419" t="n"/>
    </row>
    <row r="168">
      <c r="A168" s="4" t="n"/>
      <c r="B168" s="4" t="n"/>
      <c r="C168" s="4" t="n"/>
      <c r="D168" s="4" t="n"/>
      <c r="E168" s="4" t="n"/>
      <c r="F168" s="419" t="n"/>
      <c r="G168" s="440" t="n"/>
      <c r="H168" s="226" t="n"/>
      <c r="I168" s="226" t="n"/>
      <c r="J168" s="226" t="n"/>
      <c r="K168" s="226" t="n"/>
      <c r="L168" s="226" t="n"/>
      <c r="M168" s="226" t="n"/>
      <c r="N168" s="226" t="n"/>
      <c r="O168" s="419" t="n"/>
      <c r="P168" s="226" t="n"/>
      <c r="Q168" s="226" t="n"/>
      <c r="R168" s="226" t="n"/>
      <c r="S168" s="226" t="n"/>
      <c r="T168" s="337" t="n"/>
      <c r="U168" s="337" t="n"/>
      <c r="V168" s="419" t="n"/>
      <c r="W168" s="419" t="n"/>
      <c r="X168" s="419" t="n"/>
    </row>
    <row r="169">
      <c r="A169" s="4" t="n"/>
      <c r="B169" s="4" t="n"/>
      <c r="C169" s="4" t="n"/>
      <c r="D169" s="4" t="n"/>
      <c r="E169" s="4" t="n"/>
      <c r="F169" s="419" t="n"/>
      <c r="G169" s="440" t="n"/>
      <c r="H169" s="226" t="n"/>
      <c r="I169" s="226" t="n"/>
      <c r="J169" s="226" t="n"/>
      <c r="K169" s="226" t="n"/>
      <c r="L169" s="226" t="n"/>
      <c r="M169" s="226" t="n"/>
      <c r="N169" s="226" t="n"/>
      <c r="O169" s="419" t="n"/>
      <c r="P169" s="226" t="n"/>
      <c r="Q169" s="226" t="n"/>
      <c r="R169" s="226" t="n"/>
      <c r="S169" s="226" t="n"/>
      <c r="T169" s="337" t="n"/>
      <c r="U169" s="337" t="n"/>
      <c r="V169" s="419" t="n"/>
      <c r="W169" s="419" t="n"/>
      <c r="X169" s="419" t="n"/>
    </row>
    <row r="170">
      <c r="A170" s="4" t="n"/>
      <c r="B170" s="4" t="n"/>
      <c r="C170" s="4" t="n"/>
      <c r="D170" s="4" t="n"/>
      <c r="E170" s="4" t="n"/>
      <c r="F170" s="419" t="n"/>
      <c r="G170" s="440" t="n"/>
      <c r="H170" s="226" t="n"/>
      <c r="I170" s="226" t="n"/>
      <c r="J170" s="226" t="n"/>
      <c r="K170" s="226" t="n"/>
      <c r="L170" s="226" t="n"/>
      <c r="M170" s="226" t="n"/>
      <c r="N170" s="226" t="n"/>
      <c r="O170" s="419" t="n"/>
      <c r="P170" s="226" t="n"/>
      <c r="Q170" s="226" t="n"/>
      <c r="R170" s="226" t="n"/>
      <c r="S170" s="226" t="n"/>
      <c r="T170" s="337" t="n"/>
      <c r="U170" s="337" t="n"/>
      <c r="V170" s="419" t="n"/>
      <c r="W170" s="419" t="n"/>
      <c r="X170" s="419" t="n"/>
    </row>
    <row r="171">
      <c r="A171" s="4" t="n"/>
      <c r="B171" s="4" t="n"/>
      <c r="C171" s="4" t="n"/>
      <c r="D171" s="4" t="n"/>
      <c r="E171" s="4" t="n"/>
      <c r="F171" s="419" t="n"/>
      <c r="G171" s="440" t="n"/>
      <c r="H171" s="226" t="n"/>
      <c r="I171" s="226" t="n"/>
      <c r="J171" s="226" t="n"/>
      <c r="K171" s="226" t="n"/>
      <c r="L171" s="226" t="n"/>
      <c r="M171" s="226" t="n"/>
      <c r="N171" s="226" t="n"/>
      <c r="O171" s="419" t="n"/>
      <c r="P171" s="226" t="n"/>
      <c r="Q171" s="226" t="n"/>
      <c r="R171" s="226" t="n"/>
      <c r="S171" s="226" t="n"/>
      <c r="T171" s="337" t="n"/>
      <c r="U171" s="337" t="n"/>
      <c r="V171" s="419" t="n"/>
      <c r="W171" s="419" t="n"/>
      <c r="X171" s="419" t="n"/>
    </row>
    <row r="172">
      <c r="A172" s="4" t="n"/>
      <c r="B172" s="4" t="n"/>
      <c r="C172" s="4" t="n"/>
      <c r="D172" s="4" t="n"/>
      <c r="E172" s="4" t="n"/>
      <c r="F172" s="419" t="n"/>
      <c r="G172" s="440" t="n"/>
      <c r="H172" s="226" t="n"/>
      <c r="I172" s="226" t="n"/>
      <c r="J172" s="226" t="n"/>
      <c r="K172" s="226" t="n"/>
      <c r="L172" s="226" t="n"/>
      <c r="M172" s="226" t="n"/>
      <c r="N172" s="226" t="n"/>
      <c r="O172" s="419" t="n"/>
      <c r="P172" s="226" t="n"/>
      <c r="Q172" s="226" t="n"/>
      <c r="R172" s="226" t="n"/>
      <c r="S172" s="226" t="n"/>
      <c r="T172" s="337" t="n"/>
      <c r="U172" s="337" t="n"/>
      <c r="V172" s="419" t="n"/>
      <c r="W172" s="419" t="n"/>
      <c r="X172" s="419" t="n"/>
    </row>
    <row r="173">
      <c r="A173" s="4" t="n"/>
      <c r="B173" s="4" t="n"/>
      <c r="C173" s="4" t="n"/>
      <c r="D173" s="4" t="n"/>
      <c r="E173" s="4" t="n"/>
      <c r="F173" s="419" t="n"/>
      <c r="G173" s="440" t="n"/>
      <c r="H173" s="226" t="n"/>
      <c r="I173" s="226" t="n"/>
      <c r="J173" s="226" t="n"/>
      <c r="K173" s="226" t="n"/>
      <c r="L173" s="226" t="n"/>
      <c r="M173" s="226" t="n"/>
      <c r="N173" s="226" t="n"/>
      <c r="O173" s="419" t="n"/>
      <c r="P173" s="226" t="n"/>
      <c r="Q173" s="226" t="n"/>
      <c r="R173" s="226" t="n"/>
      <c r="S173" s="226" t="n"/>
      <c r="T173" s="337" t="n"/>
      <c r="U173" s="337" t="n"/>
      <c r="V173" s="419" t="n"/>
      <c r="W173" s="419" t="n"/>
      <c r="X173" s="419" t="n"/>
    </row>
    <row r="174">
      <c r="A174" s="4" t="n"/>
      <c r="B174" s="4" t="n"/>
      <c r="C174" s="4" t="n"/>
      <c r="D174" s="4" t="n"/>
      <c r="E174" s="4" t="n"/>
      <c r="F174" s="419" t="n"/>
      <c r="G174" s="440" t="n"/>
      <c r="H174" s="226" t="n"/>
      <c r="I174" s="226" t="n"/>
      <c r="J174" s="226" t="n"/>
      <c r="K174" s="226" t="n"/>
      <c r="L174" s="226" t="n"/>
      <c r="M174" s="226" t="n"/>
      <c r="N174" s="226" t="n"/>
      <c r="O174" s="419" t="n"/>
      <c r="P174" s="226" t="n"/>
      <c r="Q174" s="226" t="n"/>
      <c r="R174" s="226" t="n"/>
      <c r="S174" s="226" t="n"/>
      <c r="T174" s="337" t="n"/>
      <c r="U174" s="337" t="n"/>
      <c r="V174" s="419" t="n"/>
      <c r="W174" s="419" t="n"/>
      <c r="X174" s="419" t="n"/>
    </row>
    <row r="175">
      <c r="A175" s="4" t="n"/>
      <c r="B175" s="4" t="n"/>
      <c r="C175" s="4" t="n"/>
      <c r="D175" s="4" t="n"/>
      <c r="E175" s="4" t="n"/>
      <c r="F175" s="419" t="n"/>
      <c r="G175" s="440" t="n"/>
      <c r="H175" s="226" t="n"/>
      <c r="I175" s="226" t="n"/>
      <c r="J175" s="226" t="n"/>
      <c r="K175" s="226" t="n"/>
      <c r="L175" s="226" t="n"/>
      <c r="M175" s="226" t="n"/>
      <c r="N175" s="226" t="n"/>
      <c r="O175" s="419" t="n"/>
      <c r="P175" s="226" t="n"/>
      <c r="Q175" s="226" t="n"/>
      <c r="R175" s="226" t="n"/>
      <c r="S175" s="226" t="n"/>
      <c r="T175" s="337" t="n"/>
      <c r="U175" s="337" t="n"/>
      <c r="V175" s="419" t="n"/>
      <c r="W175" s="419" t="n"/>
      <c r="X175" s="419" t="n"/>
    </row>
    <row r="176">
      <c r="A176" s="4" t="n"/>
      <c r="B176" s="4" t="n"/>
      <c r="C176" s="4" t="n"/>
      <c r="D176" s="4" t="n"/>
      <c r="E176" s="4" t="n"/>
      <c r="F176" s="419" t="n"/>
      <c r="G176" s="440" t="n"/>
      <c r="H176" s="226" t="n"/>
      <c r="I176" s="226" t="n"/>
      <c r="J176" s="226" t="n"/>
      <c r="K176" s="226" t="n"/>
      <c r="L176" s="226" t="n"/>
      <c r="M176" s="226" t="n"/>
      <c r="N176" s="226" t="n"/>
      <c r="O176" s="419" t="n"/>
      <c r="P176" s="226" t="n"/>
      <c r="Q176" s="226" t="n"/>
      <c r="R176" s="226" t="n"/>
      <c r="S176" s="226" t="n"/>
      <c r="T176" s="337" t="n"/>
      <c r="U176" s="337" t="n"/>
      <c r="V176" s="419" t="n"/>
      <c r="W176" s="419" t="n"/>
      <c r="X176" s="419" t="n"/>
    </row>
    <row r="177">
      <c r="A177" s="4" t="n"/>
      <c r="B177" s="4" t="n"/>
      <c r="C177" s="4" t="n"/>
      <c r="D177" s="4" t="n"/>
      <c r="E177" s="4" t="n"/>
      <c r="F177" s="419" t="n"/>
      <c r="G177" s="440" t="n"/>
      <c r="H177" s="226" t="n"/>
      <c r="I177" s="226" t="n"/>
      <c r="J177" s="226" t="n"/>
      <c r="K177" s="226" t="n"/>
      <c r="L177" s="226" t="n"/>
      <c r="M177" s="226" t="n"/>
      <c r="N177" s="226" t="n"/>
      <c r="O177" s="419" t="n"/>
      <c r="P177" s="226" t="n"/>
      <c r="Q177" s="226" t="n"/>
      <c r="R177" s="226" t="n"/>
      <c r="S177" s="226" t="n"/>
      <c r="T177" s="337" t="n"/>
      <c r="U177" s="337" t="n"/>
      <c r="V177" s="419" t="n"/>
      <c r="W177" s="419" t="n"/>
      <c r="X177" s="419" t="n"/>
    </row>
    <row r="178">
      <c r="A178" s="4" t="n"/>
      <c r="B178" s="4" t="n"/>
      <c r="C178" s="4" t="n"/>
      <c r="D178" s="4" t="n"/>
      <c r="E178" s="4" t="n"/>
      <c r="F178" s="419" t="n"/>
      <c r="G178" s="440" t="n"/>
      <c r="H178" s="226" t="n"/>
      <c r="I178" s="226" t="n"/>
      <c r="J178" s="226" t="n"/>
      <c r="K178" s="226" t="n"/>
      <c r="L178" s="226" t="n"/>
      <c r="M178" s="226" t="n"/>
      <c r="N178" s="226" t="n"/>
      <c r="O178" s="419" t="n"/>
      <c r="P178" s="226" t="n"/>
      <c r="Q178" s="226" t="n"/>
      <c r="R178" s="226" t="n"/>
      <c r="S178" s="226" t="n"/>
      <c r="T178" s="337" t="n"/>
      <c r="U178" s="337" t="n"/>
      <c r="V178" s="419" t="n"/>
      <c r="W178" s="419" t="n"/>
      <c r="X178" s="419" t="n"/>
    </row>
    <row r="179">
      <c r="A179" s="4" t="n"/>
      <c r="B179" s="4" t="n"/>
      <c r="C179" s="4" t="n"/>
      <c r="D179" s="4" t="n"/>
      <c r="E179" s="4" t="n"/>
      <c r="F179" s="419" t="n"/>
      <c r="G179" s="440" t="n"/>
      <c r="H179" s="226" t="n"/>
      <c r="I179" s="226" t="n"/>
      <c r="J179" s="226" t="n"/>
      <c r="K179" s="226" t="n"/>
      <c r="L179" s="226" t="n"/>
      <c r="M179" s="226" t="n"/>
      <c r="N179" s="226" t="n"/>
      <c r="O179" s="419" t="n"/>
      <c r="P179" s="226" t="n"/>
      <c r="Q179" s="226" t="n"/>
      <c r="R179" s="226" t="n"/>
      <c r="S179" s="226" t="n"/>
      <c r="T179" s="337" t="n"/>
      <c r="U179" s="337" t="n"/>
      <c r="V179" s="419" t="n"/>
      <c r="W179" s="419" t="n"/>
      <c r="X179" s="419" t="n"/>
    </row>
    <row r="180">
      <c r="A180" s="4" t="n"/>
      <c r="B180" s="4" t="n"/>
      <c r="C180" s="4" t="n"/>
      <c r="D180" s="4" t="n"/>
      <c r="E180" s="4" t="n"/>
      <c r="F180" s="419" t="n"/>
      <c r="G180" s="440" t="n"/>
      <c r="H180" s="226" t="n"/>
      <c r="I180" s="226" t="n"/>
      <c r="J180" s="226" t="n"/>
      <c r="K180" s="226" t="n"/>
      <c r="L180" s="226" t="n"/>
      <c r="M180" s="226" t="n"/>
      <c r="N180" s="226" t="n"/>
      <c r="O180" s="419" t="n"/>
      <c r="P180" s="226" t="n"/>
      <c r="Q180" s="226" t="n"/>
      <c r="R180" s="226" t="n"/>
      <c r="S180" s="226" t="n"/>
      <c r="T180" s="337" t="n"/>
      <c r="U180" s="337" t="n"/>
      <c r="V180" s="419" t="n"/>
      <c r="W180" s="419" t="n"/>
      <c r="X180" s="419" t="n"/>
    </row>
    <row r="181">
      <c r="F181" s="419" t="n"/>
      <c r="G181" s="440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  <c r="T181" s="141" t="n"/>
      <c r="U181" s="141" t="n"/>
      <c r="V181" s="419" t="n"/>
      <c r="W181" s="419" t="n"/>
      <c r="X181" s="419" t="n"/>
    </row>
    <row r="182">
      <c r="F182" s="419" t="n"/>
      <c r="G182" s="440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  <c r="T182" s="141" t="n"/>
      <c r="U182" s="141" t="n"/>
      <c r="V182" s="419" t="n"/>
      <c r="W182" s="419" t="n"/>
      <c r="X182" s="419" t="n"/>
    </row>
    <row r="183">
      <c r="F183" s="419" t="n"/>
      <c r="G183" s="440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  <c r="T183" s="141" t="n"/>
      <c r="U183" s="141" t="n"/>
      <c r="V183" s="419" t="n"/>
      <c r="W183" s="419" t="n"/>
      <c r="X183" s="419" t="n"/>
    </row>
    <row r="184">
      <c r="F184" s="419" t="n"/>
      <c r="G184" s="440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  <c r="T184" s="141" t="n"/>
      <c r="U184" s="141" t="n"/>
      <c r="V184" s="419" t="n"/>
      <c r="W184" s="419" t="n"/>
      <c r="X184" s="419" t="n"/>
    </row>
    <row r="185">
      <c r="F185" s="419" t="n"/>
      <c r="G185" s="440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  <c r="T185" s="141" t="n"/>
      <c r="U185" s="141" t="n"/>
      <c r="V185" s="419" t="n"/>
      <c r="W185" s="419" t="n"/>
      <c r="X185" s="419" t="n"/>
    </row>
    <row r="186">
      <c r="F186" s="419" t="n"/>
      <c r="G186" s="440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  <c r="T186" s="141" t="n"/>
      <c r="U186" s="141" t="n"/>
      <c r="V186" s="419" t="n"/>
      <c r="W186" s="419" t="n"/>
      <c r="X186" s="419" t="n"/>
    </row>
    <row r="187">
      <c r="F187" s="419" t="n"/>
      <c r="G187" s="440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  <c r="T187" s="141" t="n"/>
      <c r="U187" s="141" t="n"/>
      <c r="V187" s="419" t="n"/>
      <c r="W187" s="419" t="n"/>
      <c r="X187" s="419" t="n"/>
    </row>
    <row r="188">
      <c r="F188" s="419" t="n"/>
      <c r="G188" s="440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  <c r="T188" s="141" t="n"/>
      <c r="U188" s="141" t="n"/>
      <c r="V188" s="419" t="n"/>
      <c r="W188" s="419" t="n"/>
      <c r="X188" s="419" t="n"/>
    </row>
    <row r="189">
      <c r="F189" s="419" t="n"/>
      <c r="G189" s="440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  <c r="T189" s="141" t="n"/>
      <c r="U189" s="141" t="n"/>
      <c r="V189" s="419" t="n"/>
      <c r="W189" s="419" t="n"/>
      <c r="X189" s="419" t="n"/>
    </row>
    <row r="190">
      <c r="F190" s="419" t="n"/>
      <c r="G190" s="440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  <c r="T190" s="141" t="n"/>
      <c r="U190" s="141" t="n"/>
      <c r="V190" s="419" t="n"/>
      <c r="W190" s="419" t="n"/>
      <c r="X190" s="419" t="n"/>
    </row>
    <row r="191">
      <c r="F191" s="419" t="n"/>
      <c r="G191" s="440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  <c r="T191" s="141" t="n"/>
      <c r="U191" s="141" t="n"/>
      <c r="V191" s="419" t="n"/>
      <c r="W191" s="419" t="n"/>
      <c r="X191" s="419" t="n"/>
    </row>
    <row r="192">
      <c r="F192" s="419" t="n"/>
      <c r="G192" s="440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  <c r="T192" s="141" t="n"/>
      <c r="U192" s="141" t="n"/>
      <c r="V192" s="419" t="n"/>
      <c r="W192" s="419" t="n"/>
      <c r="X192" s="419" t="n"/>
    </row>
    <row r="193">
      <c r="F193" s="419" t="n"/>
      <c r="G193" s="440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  <c r="T193" s="141" t="n"/>
      <c r="U193" s="141" t="n"/>
      <c r="V193" s="419" t="n"/>
      <c r="W193" s="419" t="n"/>
      <c r="X193" s="419" t="n"/>
    </row>
    <row r="194">
      <c r="F194" s="419" t="n"/>
      <c r="G194" s="440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  <c r="T194" s="141" t="n"/>
      <c r="U194" s="141" t="n"/>
      <c r="V194" s="419" t="n"/>
      <c r="W194" s="419" t="n"/>
      <c r="X194" s="419" t="n"/>
    </row>
    <row r="195">
      <c r="F195" s="419" t="n"/>
      <c r="G195" s="440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  <c r="T195" s="141" t="n"/>
      <c r="U195" s="141" t="n"/>
      <c r="V195" s="419" t="n"/>
      <c r="W195" s="419" t="n"/>
      <c r="X195" s="419" t="n"/>
    </row>
    <row r="196">
      <c r="F196" s="419" t="n"/>
      <c r="G196" s="440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  <c r="T196" s="141" t="n"/>
      <c r="U196" s="141" t="n"/>
      <c r="V196" s="419" t="n"/>
      <c r="W196" s="419" t="n"/>
      <c r="X196" s="419" t="n"/>
    </row>
    <row r="197">
      <c r="F197" s="419" t="n"/>
      <c r="G197" s="440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  <c r="T197" s="141" t="n"/>
      <c r="U197" s="141" t="n"/>
      <c r="V197" s="419" t="n"/>
      <c r="W197" s="419" t="n"/>
      <c r="X197" s="419" t="n"/>
    </row>
    <row r="198">
      <c r="F198" s="419" t="n"/>
      <c r="G198" s="440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  <c r="T198" s="141" t="n"/>
      <c r="U198" s="141" t="n"/>
      <c r="V198" s="419" t="n"/>
      <c r="W198" s="419" t="n"/>
      <c r="X198" s="419" t="n"/>
    </row>
    <row r="199">
      <c r="F199" s="419" t="n"/>
      <c r="G199" s="440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  <c r="T199" s="141" t="n"/>
      <c r="U199" s="141" t="n"/>
      <c r="V199" s="419" t="n"/>
      <c r="W199" s="419" t="n"/>
      <c r="X199" s="419" t="n"/>
    </row>
    <row r="200">
      <c r="F200" s="419" t="n"/>
      <c r="G200" s="440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  <c r="T200" s="141" t="n"/>
      <c r="U200" s="141" t="n"/>
      <c r="V200" s="419" t="n"/>
      <c r="W200" s="419" t="n"/>
      <c r="X200" s="419" t="n"/>
    </row>
  </sheetData>
  <mergeCells count="8">
    <mergeCell ref="A12:A33"/>
    <mergeCell ref="A34:D34"/>
    <mergeCell ref="A2:E3"/>
    <mergeCell ref="L1:M1"/>
    <mergeCell ref="J1:K1"/>
    <mergeCell ref="P1:Q1"/>
    <mergeCell ref="A9:A11"/>
    <mergeCell ref="A4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金安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210" t="inlineStr">
        <is>
          <t>其他</t>
        </is>
      </c>
      <c r="G1" s="277" t="inlineStr">
        <is>
          <t>网价[2026-04-30]</t>
        </is>
      </c>
      <c r="H1" s="278" t="n">
        <v>1</v>
      </c>
      <c r="I1" s="531" t="n"/>
      <c r="J1" s="9" t="n"/>
      <c r="K1" s="9" t="n"/>
    </row>
    <row r="2" ht="14.25" customHeight="1" s="527">
      <c r="A2" s="89" t="inlineStr">
        <is>
          <t>钢材询价表（金安）</t>
        </is>
      </c>
      <c r="F2" s="205" t="inlineStr">
        <is>
          <t>高线10基价</t>
        </is>
      </c>
      <c r="G2" s="280" t="n"/>
      <c r="H2" s="281" t="n"/>
      <c r="I2" s="282" t="inlineStr">
        <is>
          <t>/</t>
        </is>
      </c>
      <c r="J2" s="9" t="n"/>
      <c r="K2" s="204" t="n"/>
    </row>
    <row r="3" ht="16.5" customHeight="1" s="527">
      <c r="F3" s="205" t="inlineStr">
        <is>
          <t>盘螺10基价</t>
        </is>
      </c>
      <c r="G3" s="280" t="n"/>
      <c r="H3" s="283" t="n"/>
      <c r="I3" s="282" t="inlineStr">
        <is>
          <t>/</t>
        </is>
      </c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80" t="n">
        <v>3420</v>
      </c>
      <c r="H4" s="281" t="n"/>
      <c r="I4" s="282" t="inlineStr">
        <is>
          <t>/</t>
        </is>
      </c>
      <c r="J4" s="9" t="n"/>
      <c r="K4" s="204" t="n"/>
    </row>
    <row r="5" ht="14.25" customHeight="1" s="527">
      <c r="E5" s="533" t="n"/>
      <c r="F5" s="210" t="inlineStr">
        <is>
          <t>不开票运费</t>
        </is>
      </c>
      <c r="G5" s="284" t="n"/>
      <c r="H5" s="281" t="n"/>
      <c r="I5" s="282" t="inlineStr">
        <is>
          <t>/</t>
        </is>
      </c>
      <c r="J5" s="9" t="n"/>
      <c r="K5" s="204" t="n"/>
    </row>
    <row r="6" ht="14.25" customHeight="1" s="527">
      <c r="E6" s="533" t="n"/>
      <c r="F6" s="210" t="inlineStr">
        <is>
          <t>一票制运费</t>
        </is>
      </c>
      <c r="G6" s="284" t="n">
        <v>0</v>
      </c>
      <c r="H6" s="281" t="n"/>
      <c r="I6" s="282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84" t="n"/>
      <c r="H7" s="281" t="n"/>
      <c r="I7" s="282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85" t="inlineStr">
        <is>
          <t>合肥市场网价</t>
        </is>
      </c>
      <c r="H8" s="281" t="n"/>
      <c r="I8" s="282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214" t="n"/>
      <c r="G9" s="287" t="n"/>
      <c r="H9" s="21" t="n"/>
      <c r="I9" s="288">
        <f>G9-H9</f>
        <v/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214" t="n"/>
      <c r="G10" s="287" t="n"/>
      <c r="H10" s="21" t="n"/>
      <c r="I10" s="288">
        <f>G10-H10</f>
        <v/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214" t="n"/>
      <c r="G11" s="287" t="n"/>
      <c r="H11" s="21" t="n"/>
      <c r="I11" s="288">
        <f>G11-H11</f>
        <v/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214" t="n"/>
      <c r="G12" s="289" t="n"/>
      <c r="H12" s="110" t="n"/>
      <c r="I12" s="288">
        <f>G12-H12</f>
        <v/>
      </c>
      <c r="J12" s="376" t="n"/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214" t="n"/>
      <c r="G13" s="290" t="n"/>
      <c r="H13" s="441" t="n"/>
      <c r="I13" s="288">
        <f>G13-H13</f>
        <v/>
      </c>
      <c r="J13" s="376" t="n"/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119" t="n"/>
      <c r="G14" s="291" t="n"/>
      <c r="H14" s="156" t="n"/>
      <c r="I14" s="288">
        <f>G14-H14</f>
        <v/>
      </c>
      <c r="J14" s="376" t="n"/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214" t="n"/>
      <c r="G15" s="290" t="n"/>
      <c r="H15" s="450" t="n"/>
      <c r="I15" s="110">
        <f>G15-H15</f>
        <v/>
      </c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214" t="n"/>
      <c r="G16" s="290">
        <f>G4+G6+G7+140</f>
        <v/>
      </c>
      <c r="H16" s="450">
        <f>H4+H6+100</f>
        <v/>
      </c>
      <c r="I16" s="288">
        <f>G16-H16</f>
        <v/>
      </c>
      <c r="J16" s="376" t="n">
        <v>100</v>
      </c>
      <c r="K16" s="286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214" t="n"/>
      <c r="G17" s="290">
        <f>G4+G6+G7+140</f>
        <v/>
      </c>
      <c r="H17" s="450">
        <f>H4+H6+100</f>
        <v/>
      </c>
      <c r="I17" s="288">
        <f>G17-H17</f>
        <v/>
      </c>
      <c r="J17" s="376" t="n">
        <v>100</v>
      </c>
      <c r="K17" s="286" t="n">
        <v>2.025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214" t="n"/>
      <c r="G18" s="290">
        <f>G4+G6+G7+60</f>
        <v/>
      </c>
      <c r="H18" s="450">
        <f>H4+H6+50</f>
        <v/>
      </c>
      <c r="I18" s="288">
        <f>G18-H18</f>
        <v/>
      </c>
      <c r="J18" s="376" t="n">
        <v>50</v>
      </c>
      <c r="K18" s="286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214" t="n"/>
      <c r="G19" s="290">
        <f>G4+G6+G7+60</f>
        <v/>
      </c>
      <c r="H19" s="450">
        <f>H4+H6+50</f>
        <v/>
      </c>
      <c r="I19" s="288">
        <f>G19-H19</f>
        <v/>
      </c>
      <c r="J19" s="376" t="n">
        <v>50</v>
      </c>
      <c r="K19" s="286" t="n">
        <v>1.96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218" t="n"/>
      <c r="G20" s="290">
        <f>G4+G6+G7+50</f>
        <v/>
      </c>
      <c r="H20" s="450">
        <f>H4+H6+40</f>
        <v/>
      </c>
      <c r="I20" s="288">
        <f>G20-H20</f>
        <v/>
      </c>
      <c r="J20" s="376" t="n">
        <v>40</v>
      </c>
      <c r="K20" s="286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218" t="n"/>
      <c r="G21" s="290">
        <f>G4+G6+G7+50</f>
        <v/>
      </c>
      <c r="H21" s="450">
        <f>H4+H6+40</f>
        <v/>
      </c>
      <c r="I21" s="288">
        <f>G21-H21</f>
        <v/>
      </c>
      <c r="J21" s="376" t="n">
        <v>40</v>
      </c>
      <c r="K21" s="286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214" t="n"/>
      <c r="G22" s="291">
        <f>G4+G6+G7</f>
        <v/>
      </c>
      <c r="H22" s="157">
        <f>H4+H6+30</f>
        <v/>
      </c>
      <c r="I22" s="288">
        <f>G22-H22</f>
        <v/>
      </c>
      <c r="J22" s="376" t="n">
        <v>30</v>
      </c>
      <c r="K22" s="286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214" t="n"/>
      <c r="G23" s="291">
        <f>G4+G6+G7</f>
        <v/>
      </c>
      <c r="H23" s="157">
        <f>H4+H6+30</f>
        <v/>
      </c>
      <c r="I23" s="288">
        <f>G23-H23</f>
        <v/>
      </c>
      <c r="J23" s="376" t="n">
        <v>30</v>
      </c>
      <c r="K23" s="286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214" t="n"/>
      <c r="G24" s="290">
        <f>G4+G6+G7+50</f>
        <v/>
      </c>
      <c r="H24" s="450">
        <f>H4+H6+30</f>
        <v/>
      </c>
      <c r="I24" s="288">
        <f>G24-H24</f>
        <v/>
      </c>
      <c r="J24" s="376" t="n">
        <v>30</v>
      </c>
      <c r="K24" s="286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214" t="n"/>
      <c r="G25" s="290">
        <f>G4+G6+G7+50</f>
        <v/>
      </c>
      <c r="H25" s="450">
        <f>H4+H6+30</f>
        <v/>
      </c>
      <c r="I25" s="288">
        <f>G25-H25</f>
        <v/>
      </c>
      <c r="J25" s="376" t="n">
        <v>30</v>
      </c>
      <c r="K25" s="286" t="n">
        <v>2.075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218" t="n"/>
      <c r="G26" s="290">
        <f>G4+G6+G7+50</f>
        <v/>
      </c>
      <c r="H26" s="450">
        <f>H4+H6+50</f>
        <v/>
      </c>
      <c r="I26" s="288">
        <f>G26-H26</f>
        <v/>
      </c>
      <c r="J26" s="376" t="n">
        <v>50</v>
      </c>
      <c r="K26" s="286" t="n">
        <v>1.985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218" t="n"/>
      <c r="G27" s="290">
        <f>G4+G6+G7+50</f>
        <v/>
      </c>
      <c r="H27" s="450">
        <f>H4+H6+50</f>
        <v/>
      </c>
      <c r="I27" s="288">
        <f>G27-H27</f>
        <v/>
      </c>
      <c r="J27" s="376" t="n">
        <v>50</v>
      </c>
      <c r="K27" s="286" t="n">
        <v>1.967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214" t="n"/>
      <c r="G28" s="290">
        <f>G4+G6+G7+80</f>
        <v/>
      </c>
      <c r="H28" s="450">
        <f>H4+H6+90</f>
        <v/>
      </c>
      <c r="I28" s="288">
        <f>G28-H28</f>
        <v/>
      </c>
      <c r="J28" s="376" t="n">
        <v>90</v>
      </c>
      <c r="K28" s="286" t="n">
        <v>1.975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214" t="n"/>
      <c r="G29" s="290">
        <f>G4+G6+G7+80</f>
        <v/>
      </c>
      <c r="H29" s="450">
        <f>H4+H6+90</f>
        <v/>
      </c>
      <c r="I29" s="288">
        <f>G29-H29</f>
        <v/>
      </c>
      <c r="J29" s="376" t="n">
        <v>90</v>
      </c>
      <c r="K29" s="286" t="n">
        <v>2.079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214" t="n"/>
      <c r="G30" s="290" t="n"/>
      <c r="H30" s="450" t="n"/>
      <c r="I30" s="288">
        <f>G30-H30</f>
        <v/>
      </c>
      <c r="J30" s="376" t="n"/>
      <c r="K30" s="286" t="n"/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214" t="n"/>
      <c r="G31" s="290" t="n"/>
      <c r="H31" s="450" t="n"/>
      <c r="I31" s="288">
        <f>G31-H31</f>
        <v/>
      </c>
      <c r="J31" s="376" t="n"/>
      <c r="K31" s="286" t="n"/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214" t="n"/>
      <c r="G32" s="290" t="n"/>
      <c r="H32" s="450" t="n"/>
      <c r="I32" s="288">
        <f>G32-H32</f>
        <v/>
      </c>
      <c r="J32" s="376" t="n"/>
      <c r="K32" s="286" t="n"/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214" t="n"/>
      <c r="G33" s="290" t="n"/>
      <c r="H33" s="450" t="n"/>
      <c r="I33" s="288">
        <f>G33-H33</f>
        <v/>
      </c>
      <c r="J33" s="376" t="n"/>
      <c r="K33" s="286" t="n"/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214" t="inlineStr">
        <is>
          <t>备注</t>
        </is>
      </c>
      <c r="G34" s="292" t="n"/>
      <c r="H34" s="223" t="n"/>
      <c r="I34" s="293" t="n"/>
      <c r="J34" s="9" t="n"/>
      <c r="K34" s="204" t="n"/>
    </row>
    <row r="35" ht="29.25" customHeight="1" s="527">
      <c r="A35" s="133" t="n"/>
      <c r="B35" s="133" t="n"/>
      <c r="C35" s="133" t="n"/>
      <c r="D35" s="133" t="n"/>
      <c r="E35" s="133" t="n"/>
      <c r="F35" s="225" t="n"/>
      <c r="G35" s="294" t="n"/>
      <c r="H35" s="226" t="n"/>
      <c r="I35" s="295" t="n"/>
      <c r="J35" s="9" t="n"/>
      <c r="K35" s="204" t="n"/>
    </row>
    <row r="36">
      <c r="A36" s="444" t="n"/>
      <c r="B36" s="444" t="n"/>
      <c r="C36" s="444" t="n"/>
      <c r="D36" s="444" t="n"/>
      <c r="E36" s="444" t="n"/>
      <c r="F36" s="225" t="n"/>
      <c r="G36" s="294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225" t="n"/>
      <c r="G37" s="294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225" t="n"/>
      <c r="G38" s="294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225" t="n"/>
      <c r="G39" s="294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225" t="n"/>
      <c r="G40" s="294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225" t="n"/>
      <c r="G41" s="294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225" t="n"/>
      <c r="G42" s="294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225" t="n"/>
      <c r="G43" s="294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225" t="n"/>
      <c r="G44" s="294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225" t="n"/>
      <c r="G45" s="294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225" t="n"/>
      <c r="G46" s="294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225" t="n"/>
      <c r="G47" s="294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225" t="n"/>
      <c r="G48" s="294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225" t="n"/>
      <c r="G49" s="294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225" t="n"/>
      <c r="G50" s="294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225" t="n"/>
      <c r="G51" s="294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225" t="n"/>
      <c r="G52" s="294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225" t="n"/>
      <c r="G53" s="294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225" t="n"/>
      <c r="G54" s="294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225" t="n"/>
      <c r="G55" s="294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225" t="n"/>
      <c r="G56" s="294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225" t="n"/>
      <c r="G57" s="294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225" t="n"/>
      <c r="G58" s="294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225" t="n"/>
      <c r="G59" s="294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225" t="n"/>
      <c r="G60" s="294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225" t="n"/>
      <c r="G61" s="294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225" t="n"/>
      <c r="G62" s="294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225" t="n"/>
      <c r="G63" s="294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225" t="n"/>
      <c r="G64" s="294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225" t="n"/>
      <c r="G65" s="294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225" t="n"/>
      <c r="G66" s="294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225" t="n"/>
      <c r="G67" s="294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225" t="n"/>
      <c r="G68" s="294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225" t="n"/>
      <c r="G69" s="294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225" t="n"/>
      <c r="G70" s="294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225" t="n"/>
      <c r="G71" s="294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225" t="n"/>
      <c r="G72" s="294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225" t="n"/>
      <c r="G73" s="294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225" t="n"/>
      <c r="G74" s="294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225" t="n"/>
      <c r="G75" s="294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225" t="n"/>
      <c r="G76" s="294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225" t="n"/>
      <c r="G77" s="294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225" t="n"/>
      <c r="G78" s="294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225" t="n"/>
      <c r="G79" s="294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225" t="n"/>
      <c r="G80" s="294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225" t="n"/>
      <c r="G81" s="294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225" t="n"/>
      <c r="G82" s="294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225" t="n"/>
      <c r="G83" s="294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225" t="n"/>
      <c r="G84" s="294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225" t="n"/>
      <c r="G85" s="294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225" t="n"/>
      <c r="G86" s="294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225" t="n"/>
      <c r="G87" s="294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225" t="n"/>
      <c r="G88" s="294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225" t="n"/>
      <c r="G89" s="294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225" t="n"/>
      <c r="G90" s="294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225" t="n"/>
      <c r="G91" s="294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225" t="n"/>
      <c r="G92" s="294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225" t="n"/>
      <c r="G93" s="294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225" t="n"/>
      <c r="G94" s="294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225" t="n"/>
      <c r="G95" s="294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225" t="n"/>
      <c r="G96" s="294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225" t="n"/>
      <c r="G97" s="294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225" t="n"/>
      <c r="G98" s="294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225" t="n"/>
      <c r="G99" s="294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225" t="n"/>
      <c r="G100" s="294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225" t="n"/>
      <c r="G101" s="294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225" t="n"/>
      <c r="G102" s="294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225" t="n"/>
      <c r="G103" s="294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225" t="n"/>
      <c r="G104" s="294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225" t="n"/>
      <c r="G105" s="294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225" t="n"/>
      <c r="G106" s="294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225" t="n"/>
      <c r="G107" s="294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225" t="n"/>
      <c r="G108" s="294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225" t="n"/>
      <c r="G109" s="294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225" t="n"/>
      <c r="G110" s="294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225" t="n"/>
      <c r="G111" s="294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225" t="n"/>
      <c r="G112" s="294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225" t="n"/>
      <c r="G113" s="294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225" t="n"/>
      <c r="G114" s="294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225" t="n"/>
      <c r="G115" s="294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225" t="n"/>
      <c r="G116" s="294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225" t="n"/>
      <c r="G117" s="294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225" t="n"/>
      <c r="G118" s="294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225" t="n"/>
      <c r="G119" s="294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225" t="n"/>
      <c r="G120" s="294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225" t="n"/>
      <c r="G121" s="294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225" t="n"/>
      <c r="G122" s="294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225" t="n"/>
      <c r="G123" s="294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225" t="n"/>
      <c r="G124" s="294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225" t="n"/>
      <c r="G125" s="294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225" t="n"/>
      <c r="G126" s="294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225" t="n"/>
      <c r="G127" s="294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225" t="n"/>
      <c r="G128" s="294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225" t="n"/>
      <c r="G129" s="294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225" t="n"/>
      <c r="G130" s="294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225" t="n"/>
      <c r="G131" s="294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225" t="n"/>
      <c r="G132" s="294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225" t="n"/>
      <c r="G133" s="294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225" t="n"/>
      <c r="G134" s="294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225" t="n"/>
      <c r="G135" s="294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225" t="n"/>
      <c r="G136" s="294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225" t="n"/>
      <c r="G137" s="294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225" t="n"/>
      <c r="G138" s="294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225" t="n"/>
      <c r="G139" s="294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225" t="n"/>
      <c r="G140" s="294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225" t="n"/>
      <c r="G141" s="294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225" t="n"/>
      <c r="G142" s="294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225" t="n"/>
      <c r="G143" s="294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225" t="n"/>
      <c r="G144" s="294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225" t="n"/>
      <c r="G145" s="294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225" t="n"/>
      <c r="G146" s="294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225" t="n"/>
      <c r="G147" s="294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225" t="n"/>
      <c r="G148" s="294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225" t="n"/>
      <c r="G149" s="294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225" t="n"/>
      <c r="G150" s="294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225" t="n"/>
      <c r="G151" s="294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225" t="n"/>
      <c r="G152" s="294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225" t="n"/>
      <c r="G153" s="294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225" t="n"/>
      <c r="G154" s="294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225" t="n"/>
      <c r="G155" s="294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225" t="n"/>
      <c r="G156" s="294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225" t="n"/>
      <c r="G157" s="294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225" t="n"/>
      <c r="G158" s="294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225" t="n"/>
      <c r="G159" s="294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225" t="n"/>
      <c r="G160" s="294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225" t="n"/>
      <c r="G161" s="294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225" t="n"/>
      <c r="G162" s="294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225" t="n"/>
      <c r="G163" s="294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225" t="n"/>
      <c r="G164" s="294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225" t="n"/>
      <c r="G165" s="294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225" t="n"/>
      <c r="G166" s="294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225" t="n"/>
      <c r="G167" s="294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225" t="n"/>
      <c r="G168" s="294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225" t="n"/>
      <c r="G169" s="294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225" t="n"/>
      <c r="G170" s="294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225" t="n"/>
      <c r="G171" s="294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225" t="n"/>
      <c r="G172" s="294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225" t="n"/>
      <c r="G173" s="294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225" t="n"/>
      <c r="G174" s="294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225" t="n"/>
      <c r="G175" s="294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225" t="n"/>
      <c r="G176" s="294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225" t="n"/>
      <c r="G177" s="294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225" t="n"/>
      <c r="G178" s="294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225" t="n"/>
      <c r="G179" s="294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225" t="n"/>
      <c r="G180" s="294" t="n"/>
      <c r="H180" s="226" t="n"/>
      <c r="I180" s="226" t="n"/>
      <c r="J180" s="419" t="n"/>
      <c r="K180" s="419" t="n"/>
    </row>
    <row r="181">
      <c r="F181" s="382" t="n"/>
      <c r="G181" s="200" t="n"/>
      <c r="H181" s="419" t="n"/>
      <c r="I181" s="419" t="n"/>
      <c r="J181" s="419" t="n"/>
      <c r="K181" s="419" t="n"/>
    </row>
    <row r="182">
      <c r="F182" s="382" t="n"/>
      <c r="G182" s="200" t="n"/>
      <c r="H182" s="419" t="n"/>
      <c r="I182" s="419" t="n"/>
      <c r="J182" s="419" t="n"/>
      <c r="K182" s="419" t="n"/>
    </row>
    <row r="183">
      <c r="F183" s="382" t="n"/>
      <c r="G183" s="200" t="n"/>
      <c r="H183" s="419" t="n"/>
      <c r="I183" s="419" t="n"/>
      <c r="J183" s="419" t="n"/>
      <c r="K183" s="419" t="n"/>
    </row>
    <row r="184">
      <c r="F184" s="382" t="n"/>
      <c r="G184" s="200" t="n"/>
      <c r="H184" s="419" t="n"/>
      <c r="I184" s="419" t="n"/>
      <c r="J184" s="419" t="n"/>
      <c r="K184" s="419" t="n"/>
    </row>
    <row r="185">
      <c r="F185" s="382" t="n"/>
      <c r="G185" s="200" t="n"/>
      <c r="H185" s="419" t="n"/>
      <c r="I185" s="419" t="n"/>
      <c r="J185" s="419" t="n"/>
      <c r="K185" s="419" t="n"/>
    </row>
    <row r="186">
      <c r="F186" s="382" t="n"/>
      <c r="G186" s="200" t="n"/>
      <c r="H186" s="419" t="n"/>
      <c r="I186" s="419" t="n"/>
      <c r="J186" s="419" t="n"/>
      <c r="K186" s="419" t="n"/>
    </row>
    <row r="187">
      <c r="F187" s="382" t="n"/>
      <c r="G187" s="200" t="n"/>
      <c r="H187" s="419" t="n"/>
      <c r="I187" s="419" t="n"/>
      <c r="J187" s="419" t="n"/>
      <c r="K187" s="419" t="n"/>
    </row>
    <row r="188">
      <c r="F188" s="382" t="n"/>
      <c r="G188" s="200" t="n"/>
      <c r="H188" s="419" t="n"/>
      <c r="I188" s="419" t="n"/>
      <c r="J188" s="419" t="n"/>
      <c r="K188" s="419" t="n"/>
    </row>
    <row r="189">
      <c r="F189" s="382" t="n"/>
      <c r="G189" s="200" t="n"/>
      <c r="H189" s="419" t="n"/>
      <c r="I189" s="419" t="n"/>
      <c r="J189" s="419" t="n"/>
      <c r="K189" s="419" t="n"/>
    </row>
    <row r="190">
      <c r="F190" s="382" t="n"/>
      <c r="G190" s="200" t="n"/>
      <c r="H190" s="419" t="n"/>
      <c r="I190" s="419" t="n"/>
      <c r="J190" s="419" t="n"/>
      <c r="K190" s="419" t="n"/>
    </row>
    <row r="191">
      <c r="F191" s="382" t="n"/>
      <c r="G191" s="200" t="n"/>
      <c r="H191" s="419" t="n"/>
      <c r="I191" s="419" t="n"/>
      <c r="J191" s="419" t="n"/>
      <c r="K191" s="419" t="n"/>
    </row>
    <row r="192">
      <c r="F192" s="382" t="n"/>
      <c r="G192" s="200" t="n"/>
      <c r="H192" s="419" t="n"/>
      <c r="I192" s="419" t="n"/>
      <c r="J192" s="419" t="n"/>
      <c r="K192" s="419" t="n"/>
    </row>
    <row r="193">
      <c r="F193" s="382" t="n"/>
      <c r="G193" s="200" t="n"/>
      <c r="H193" s="419" t="n"/>
      <c r="I193" s="419" t="n"/>
      <c r="J193" s="419" t="n"/>
      <c r="K193" s="419" t="n"/>
    </row>
    <row r="194">
      <c r="F194" s="382" t="n"/>
      <c r="G194" s="200" t="n"/>
      <c r="H194" s="419" t="n"/>
      <c r="I194" s="419" t="n"/>
      <c r="J194" s="419" t="n"/>
      <c r="K194" s="419" t="n"/>
    </row>
    <row r="195">
      <c r="F195" s="382" t="n"/>
      <c r="G195" s="200" t="n"/>
      <c r="H195" s="419" t="n"/>
      <c r="I195" s="419" t="n"/>
      <c r="J195" s="419" t="n"/>
      <c r="K195" s="419" t="n"/>
    </row>
    <row r="196">
      <c r="F196" s="382" t="n"/>
      <c r="G196" s="200" t="n"/>
      <c r="H196" s="419" t="n"/>
      <c r="I196" s="419" t="n"/>
      <c r="J196" s="419" t="n"/>
      <c r="K196" s="419" t="n"/>
    </row>
    <row r="197">
      <c r="F197" s="382" t="n"/>
      <c r="G197" s="200" t="n"/>
      <c r="H197" s="419" t="n"/>
      <c r="I197" s="419" t="n"/>
      <c r="J197" s="419" t="n"/>
      <c r="K197" s="419" t="n"/>
    </row>
    <row r="198">
      <c r="F198" s="382" t="n"/>
      <c r="G198" s="200" t="n"/>
      <c r="H198" s="419" t="n"/>
      <c r="I198" s="419" t="n"/>
      <c r="J198" s="419" t="n"/>
      <c r="K198" s="419" t="n"/>
    </row>
    <row r="199">
      <c r="F199" s="382" t="n"/>
      <c r="G199" s="200" t="n"/>
      <c r="H199" s="419" t="n"/>
      <c r="I199" s="419" t="n"/>
      <c r="J199" s="419" t="n"/>
      <c r="K199" s="419" t="n"/>
    </row>
    <row r="200">
      <c r="F200" s="382" t="n"/>
      <c r="G200" s="20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0"/>
  <sheetViews>
    <sheetView topLeftCell="B1" workbookViewId="0">
      <selection activeCell="A1" sqref="A1"/>
    </sheetView>
  </sheetViews>
  <sheetFormatPr baseColWidth="8" defaultColWidth="9" defaultRowHeight="13.5"/>
  <cols>
    <col width="13" customWidth="1" style="527" min="1" max="1"/>
    <col width="6" customWidth="1" style="527" min="2" max="2"/>
    <col width="17" customWidth="1" style="527" min="3" max="3"/>
    <col width="15" customWidth="1" style="527" min="4" max="4"/>
    <col width="17" customWidth="1" style="527" min="5" max="5"/>
    <col width="11.625" customWidth="1" style="527" min="6" max="6"/>
    <col width="9.375" customWidth="1" style="228" min="7" max="7"/>
    <col width="9.5" customWidth="1" style="526" min="8" max="8"/>
    <col width="7.125" customWidth="1" style="526" min="9" max="9"/>
    <col width="9.5" customWidth="1" style="526" min="10" max="10"/>
    <col width="7.125" customWidth="1" style="526" min="11" max="11"/>
    <col width="8.375" customWidth="1" style="526" min="12" max="12"/>
    <col width="9.25" customWidth="1" style="526" min="13" max="13"/>
    <col width="8.625" customWidth="1" style="526" min="14" max="14"/>
    <col width="9.25" customWidth="1" style="526" min="15" max="15"/>
    <col width="8.625" customWidth="1" style="526" min="16" max="16"/>
    <col width="7.5" customWidth="1" style="526" min="17" max="17"/>
    <col width="7.75" customWidth="1" style="527" min="18" max="18"/>
    <col width="7.625" customWidth="1" style="527" min="19" max="19"/>
    <col width="7.75" customWidth="1" style="527" min="20" max="20"/>
    <col width="6.625" customWidth="1" style="527" min="21" max="21"/>
    <col width="14.75" customWidth="1" style="527" min="22" max="22"/>
    <col hidden="1" width="10.75" customWidth="1" style="527" min="23" max="2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5" t="inlineStr">
        <is>
          <t>网价[2026-04-30]</t>
        </is>
      </c>
      <c r="H1" s="230" t="inlineStr">
        <is>
          <t>报价[2026-04-24]</t>
        </is>
      </c>
      <c r="I1" s="531" t="n"/>
      <c r="J1" s="231" t="inlineStr">
        <is>
          <t>方圆/乐福祥</t>
        </is>
      </c>
      <c r="K1" s="531" t="n"/>
      <c r="L1" s="232" t="inlineStr">
        <is>
          <t>宏远/乐福祥</t>
        </is>
      </c>
      <c r="M1" s="530" t="n"/>
      <c r="N1" s="84" t="inlineStr">
        <is>
          <t>铁山/顺朝</t>
        </is>
      </c>
      <c r="O1" s="530" t="n"/>
      <c r="P1" s="84" t="inlineStr">
        <is>
          <t>铁山/顺朝</t>
        </is>
      </c>
      <c r="Q1" s="530" t="n"/>
      <c r="R1" s="84" t="inlineStr">
        <is>
          <t>通配/钢晨</t>
        </is>
      </c>
      <c r="S1" s="530" t="n"/>
      <c r="T1" s="84" t="inlineStr">
        <is>
          <t>南京库</t>
        </is>
      </c>
      <c r="U1" s="530" t="n"/>
      <c r="V1" s="254" t="inlineStr">
        <is>
          <t>安徽级差</t>
        </is>
      </c>
      <c r="W1" s="254" t="inlineStr">
        <is>
          <t>江苏级差</t>
        </is>
      </c>
      <c r="X1" s="9" t="n"/>
    </row>
    <row r="2" ht="14.25" customHeight="1" s="527">
      <c r="A2" s="89" t="inlineStr">
        <is>
          <t>钢材询价表（长江）</t>
        </is>
      </c>
      <c r="F2" s="90" t="inlineStr">
        <is>
          <t>高线10基价</t>
        </is>
      </c>
      <c r="G2" s="234" t="n"/>
      <c r="H2" s="401" t="n"/>
      <c r="I2" s="309" t="inlineStr">
        <is>
          <t>/</t>
        </is>
      </c>
      <c r="J2" s="234" t="n"/>
      <c r="K2" s="309" t="inlineStr">
        <is>
          <t>/</t>
        </is>
      </c>
      <c r="L2" s="237" t="n"/>
      <c r="M2" s="237" t="inlineStr">
        <is>
          <t>/</t>
        </is>
      </c>
      <c r="N2" s="92" t="n"/>
      <c r="O2" s="92" t="inlineStr">
        <is>
          <t>/</t>
        </is>
      </c>
      <c r="P2" s="92" t="n"/>
      <c r="Q2" s="92" t="inlineStr">
        <is>
          <t>/</t>
        </is>
      </c>
      <c r="R2" s="92" t="n"/>
      <c r="S2" s="92" t="inlineStr">
        <is>
          <t>/</t>
        </is>
      </c>
      <c r="T2" s="92" t="n"/>
      <c r="U2" s="93" t="inlineStr">
        <is>
          <t>/</t>
        </is>
      </c>
      <c r="V2" s="254" t="n"/>
      <c r="W2" s="254" t="n"/>
      <c r="X2" s="9" t="n"/>
    </row>
    <row r="3" ht="16.5" customHeight="1" s="527">
      <c r="F3" s="90" t="inlineStr">
        <is>
          <t>盘螺10基价</t>
        </is>
      </c>
      <c r="G3" s="245" t="n">
        <v>3700</v>
      </c>
      <c r="H3" s="244" t="n">
        <v>3570</v>
      </c>
      <c r="I3" s="309" t="n"/>
      <c r="J3" s="243" t="n">
        <v>3430</v>
      </c>
      <c r="K3" s="309" t="n"/>
      <c r="L3" s="240" t="n"/>
      <c r="M3" s="237" t="n"/>
      <c r="N3" s="105" t="n"/>
      <c r="O3" s="92" t="n"/>
      <c r="P3" s="105" t="n"/>
      <c r="Q3" s="92" t="n"/>
      <c r="R3" s="105" t="n"/>
      <c r="S3" s="92" t="n"/>
      <c r="T3" s="105" t="n"/>
      <c r="U3" s="93" t="n"/>
      <c r="V3" s="254" t="n"/>
      <c r="W3" s="254" t="n"/>
      <c r="X3" s="9" t="n"/>
    </row>
    <row r="4" ht="16.5" customHeight="1" s="527">
      <c r="A4" s="18" t="inlineStr">
        <is>
          <t xml:space="preserve"> 需求单位：五河县兴五新型建材有限公司</t>
        </is>
      </c>
      <c r="E4" s="533" t="n"/>
      <c r="F4" s="90" t="inlineStr">
        <is>
          <t>螺纹18基价</t>
        </is>
      </c>
      <c r="G4" s="245" t="n">
        <v>3460</v>
      </c>
      <c r="H4" s="244" t="n">
        <v>3310</v>
      </c>
      <c r="I4" s="309" t="n"/>
      <c r="J4" s="243" t="n">
        <v>3170</v>
      </c>
      <c r="K4" s="309" t="n"/>
      <c r="L4" s="240" t="n"/>
      <c r="M4" s="237" t="n"/>
      <c r="N4" s="105" t="n"/>
      <c r="O4" s="92" t="n"/>
      <c r="P4" s="105" t="n"/>
      <c r="Q4" s="92" t="n"/>
      <c r="R4" s="105" t="n"/>
      <c r="S4" s="92" t="n"/>
      <c r="T4" s="105" t="n"/>
      <c r="U4" s="93" t="n"/>
      <c r="V4" s="254" t="n"/>
      <c r="W4" s="254" t="n"/>
      <c r="X4" s="9" t="n"/>
    </row>
    <row r="5" ht="14.25" customHeight="1" s="527">
      <c r="E5" s="533" t="n"/>
      <c r="F5" s="101" t="inlineStr">
        <is>
          <t>不开票运费</t>
        </is>
      </c>
      <c r="G5" s="241" t="n"/>
      <c r="H5" s="242" t="n"/>
      <c r="I5" s="309" t="n"/>
      <c r="J5" s="241" t="n"/>
      <c r="K5" s="309" t="inlineStr">
        <is>
          <t>/</t>
        </is>
      </c>
      <c r="L5" s="240" t="n"/>
      <c r="M5" s="237" t="inlineStr">
        <is>
          <t>/</t>
        </is>
      </c>
      <c r="N5" s="105" t="n"/>
      <c r="O5" s="92" t="inlineStr">
        <is>
          <t>/</t>
        </is>
      </c>
      <c r="P5" s="105" t="n"/>
      <c r="Q5" s="92" t="inlineStr">
        <is>
          <t>/</t>
        </is>
      </c>
      <c r="R5" s="105" t="n"/>
      <c r="S5" s="92" t="inlineStr">
        <is>
          <t>/</t>
        </is>
      </c>
      <c r="T5" s="105" t="n"/>
      <c r="U5" s="93" t="inlineStr">
        <is>
          <t>/</t>
        </is>
      </c>
      <c r="V5" s="254" t="n"/>
      <c r="W5" s="254" t="n"/>
      <c r="X5" s="9" t="n"/>
    </row>
    <row r="6" ht="14.25" customHeight="1" s="527">
      <c r="E6" s="533" t="n"/>
      <c r="F6" s="101" t="inlineStr">
        <is>
          <t>一票制运费</t>
        </is>
      </c>
      <c r="G6" s="243" t="n"/>
      <c r="H6" s="244" t="n"/>
      <c r="I6" s="309" t="n"/>
      <c r="J6" s="243" t="n">
        <v>15</v>
      </c>
      <c r="K6" s="309" t="n"/>
      <c r="L6" s="240" t="n"/>
      <c r="M6" s="237" t="n"/>
      <c r="N6" s="105" t="n"/>
      <c r="O6" s="92" t="n"/>
      <c r="P6" s="105" t="n"/>
      <c r="Q6" s="92" t="n"/>
      <c r="R6" s="105" t="n"/>
      <c r="S6" s="92" t="n"/>
      <c r="T6" s="105" t="n"/>
      <c r="U6" s="93" t="n"/>
      <c r="V6" s="254" t="n"/>
      <c r="W6" s="254" t="n"/>
      <c r="X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3" t="n"/>
      <c r="H7" s="244" t="n"/>
      <c r="I7" s="309" t="inlineStr">
        <is>
          <t>/</t>
        </is>
      </c>
      <c r="J7" s="243" t="n"/>
      <c r="K7" s="309" t="inlineStr">
        <is>
          <t>/</t>
        </is>
      </c>
      <c r="L7" s="240" t="n"/>
      <c r="M7" s="237" t="inlineStr">
        <is>
          <t>/</t>
        </is>
      </c>
      <c r="N7" s="105" t="n"/>
      <c r="O7" s="92" t="inlineStr">
        <is>
          <t>/</t>
        </is>
      </c>
      <c r="P7" s="105" t="n"/>
      <c r="Q7" s="92" t="n"/>
      <c r="R7" s="105" t="n"/>
      <c r="S7" s="92" t="inlineStr">
        <is>
          <t>/</t>
        </is>
      </c>
      <c r="T7" s="105" t="n"/>
      <c r="U7" s="93" t="inlineStr">
        <is>
          <t>/</t>
        </is>
      </c>
      <c r="V7" s="254" t="n"/>
      <c r="W7" s="254" t="n"/>
      <c r="X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245" t="inlineStr">
        <is>
          <t>合肥市场网价</t>
        </is>
      </c>
      <c r="H8" s="401" t="inlineStr">
        <is>
          <t>钢厂</t>
        </is>
      </c>
      <c r="I8" s="309" t="inlineStr">
        <is>
          <t>网差</t>
        </is>
      </c>
      <c r="J8" s="234" t="inlineStr">
        <is>
          <t>蚌埠库</t>
        </is>
      </c>
      <c r="K8" s="309" t="inlineStr">
        <is>
          <t>网差</t>
        </is>
      </c>
      <c r="L8" s="237" t="inlineStr">
        <is>
          <t>阜阳库</t>
        </is>
      </c>
      <c r="M8" s="237" t="inlineStr">
        <is>
          <t>网差</t>
        </is>
      </c>
      <c r="N8" s="92" t="inlineStr">
        <is>
          <t>合肥港</t>
        </is>
      </c>
      <c r="O8" s="92" t="inlineStr">
        <is>
          <t>网差</t>
        </is>
      </c>
      <c r="P8" s="92" t="inlineStr">
        <is>
          <t>合肥铁四局</t>
        </is>
      </c>
      <c r="Q8" s="92" t="inlineStr">
        <is>
          <t>网差</t>
        </is>
      </c>
      <c r="R8" s="92" t="inlineStr">
        <is>
          <t>安庆库</t>
        </is>
      </c>
      <c r="S8" s="92" t="inlineStr">
        <is>
          <t>网差</t>
        </is>
      </c>
      <c r="T8" s="92" t="inlineStr">
        <is>
          <t>南京库</t>
        </is>
      </c>
      <c r="U8" s="93" t="inlineStr">
        <is>
          <t>网差</t>
        </is>
      </c>
      <c r="V8" s="254" t="inlineStr">
        <is>
          <t>极差</t>
        </is>
      </c>
      <c r="W8" s="254" t="inlineStr">
        <is>
          <t>极差</t>
        </is>
      </c>
      <c r="X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6">
        <f>G2+G6</f>
        <v/>
      </c>
      <c r="H9" s="310">
        <f>H2+H6</f>
        <v/>
      </c>
      <c r="I9" s="248" t="n">
        <v>0</v>
      </c>
      <c r="J9" s="246">
        <f>J2+J6</f>
        <v/>
      </c>
      <c r="K9" s="248">
        <f>G9-J9</f>
        <v/>
      </c>
      <c r="L9" s="21">
        <f>L2+L6</f>
        <v/>
      </c>
      <c r="M9" s="21">
        <f>G9-L9</f>
        <v/>
      </c>
      <c r="N9" s="21">
        <f>N2+N6</f>
        <v/>
      </c>
      <c r="O9" s="21">
        <f>G9-N9</f>
        <v/>
      </c>
      <c r="P9" s="21">
        <f>P2+P6</f>
        <v/>
      </c>
      <c r="Q9" s="21">
        <f>G9-P9</f>
        <v/>
      </c>
      <c r="R9" s="21">
        <f>R2+R6</f>
        <v/>
      </c>
      <c r="S9" s="21">
        <f>G9-R9</f>
        <v/>
      </c>
      <c r="T9" s="21">
        <f>T2+T6</f>
        <v/>
      </c>
      <c r="U9" s="110">
        <f>G9-T9</f>
        <v/>
      </c>
      <c r="V9" s="254" t="n"/>
      <c r="W9" s="254" t="n"/>
      <c r="X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6">
        <f>G2+G6</f>
        <v/>
      </c>
      <c r="H10" s="310">
        <f>H2+H6</f>
        <v/>
      </c>
      <c r="I10" s="248">
        <f>G10-H10</f>
        <v/>
      </c>
      <c r="J10" s="246">
        <f>J2+J6</f>
        <v/>
      </c>
      <c r="K10" s="248">
        <f>G10-J10</f>
        <v/>
      </c>
      <c r="L10" s="21">
        <f>L2+L6</f>
        <v/>
      </c>
      <c r="M10" s="21">
        <f>G10-L10</f>
        <v/>
      </c>
      <c r="N10" s="21">
        <f>N2+N6</f>
        <v/>
      </c>
      <c r="O10" s="21">
        <f>G10-N10</f>
        <v/>
      </c>
      <c r="P10" s="21">
        <f>P2+P6</f>
        <v/>
      </c>
      <c r="Q10" s="21">
        <f>G10-P10</f>
        <v/>
      </c>
      <c r="R10" s="21">
        <f>R2+R6</f>
        <v/>
      </c>
      <c r="S10" s="21">
        <f>G10-R10</f>
        <v/>
      </c>
      <c r="T10" s="21">
        <f>T2+T6</f>
        <v/>
      </c>
      <c r="U10" s="110">
        <f>G10-T10</f>
        <v/>
      </c>
      <c r="V10" s="254" t="n"/>
      <c r="W10" s="254" t="n"/>
      <c r="X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46">
        <f>G2+G6</f>
        <v/>
      </c>
      <c r="H11" s="310">
        <f>H2+H6</f>
        <v/>
      </c>
      <c r="I11" s="248">
        <f>G11-H11</f>
        <v/>
      </c>
      <c r="J11" s="246">
        <f>J2+J6</f>
        <v/>
      </c>
      <c r="K11" s="248">
        <f>G11-J11</f>
        <v/>
      </c>
      <c r="L11" s="21">
        <f>L2+L6</f>
        <v/>
      </c>
      <c r="M11" s="21">
        <f>G11-L11</f>
        <v/>
      </c>
      <c r="N11" s="21">
        <f>N2+N6</f>
        <v/>
      </c>
      <c r="O11" s="21">
        <f>G11-N11</f>
        <v/>
      </c>
      <c r="P11" s="21">
        <f>P2+P6</f>
        <v/>
      </c>
      <c r="Q11" s="21">
        <f>G11-P11</f>
        <v/>
      </c>
      <c r="R11" s="21">
        <f>R2+R6</f>
        <v/>
      </c>
      <c r="S11" s="21">
        <f>G11-R11</f>
        <v/>
      </c>
      <c r="T11" s="21">
        <f>T2+T6</f>
        <v/>
      </c>
      <c r="U11" s="110">
        <f>G11-T11</f>
        <v/>
      </c>
      <c r="V11" s="254" t="n"/>
      <c r="W11" s="254" t="n"/>
      <c r="X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246">
        <f>G3+300+G6</f>
        <v/>
      </c>
      <c r="H12" s="310">
        <f>H3+300+H6</f>
        <v/>
      </c>
      <c r="I12" s="248">
        <f>G12-H12</f>
        <v/>
      </c>
      <c r="J12" s="246">
        <f>J3+300+J6</f>
        <v/>
      </c>
      <c r="K12" s="248">
        <f>G12-J12</f>
        <v/>
      </c>
      <c r="L12" s="21">
        <f>L3+300+L6</f>
        <v/>
      </c>
      <c r="M12" s="21">
        <f>G12-L12</f>
        <v/>
      </c>
      <c r="N12" s="21">
        <f>N3+300+N6</f>
        <v/>
      </c>
      <c r="O12" s="21">
        <f>G12-N12</f>
        <v/>
      </c>
      <c r="P12" s="21">
        <f>P3+300+P6</f>
        <v/>
      </c>
      <c r="Q12" s="21">
        <f>G12-P12</f>
        <v/>
      </c>
      <c r="R12" s="21">
        <f>R3+300+R6</f>
        <v/>
      </c>
      <c r="S12" s="21">
        <f>G12-R12</f>
        <v/>
      </c>
      <c r="T12" s="21">
        <f>T3+300+T6</f>
        <v/>
      </c>
      <c r="U12" s="110">
        <f>G12-T12</f>
        <v/>
      </c>
      <c r="V12" s="254" t="n">
        <v>300</v>
      </c>
      <c r="W12" s="254" t="n">
        <v>300</v>
      </c>
      <c r="X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249">
        <f>G3+G6+G7</f>
        <v/>
      </c>
      <c r="H13" s="315">
        <f>H3+H6+H7</f>
        <v/>
      </c>
      <c r="I13" s="248">
        <f>G13-H13</f>
        <v/>
      </c>
      <c r="J13" s="249">
        <f>J3+J6+J7</f>
        <v/>
      </c>
      <c r="K13" s="248">
        <f>G13-J13</f>
        <v/>
      </c>
      <c r="L13" s="450">
        <f>L3+L6+L7</f>
        <v/>
      </c>
      <c r="M13" s="21">
        <f>G13-L13</f>
        <v/>
      </c>
      <c r="N13" s="450">
        <f>N3+N6+N7</f>
        <v/>
      </c>
      <c r="O13" s="21">
        <f>G13-N13</f>
        <v/>
      </c>
      <c r="P13" s="450">
        <f>P3+P6+P7</f>
        <v/>
      </c>
      <c r="Q13" s="21">
        <f>G13-P13</f>
        <v/>
      </c>
      <c r="R13" s="450">
        <f>R3+R6+R7</f>
        <v/>
      </c>
      <c r="S13" s="21">
        <f>G13-R13</f>
        <v/>
      </c>
      <c r="T13" s="450">
        <f>T3+T6+T7</f>
        <v/>
      </c>
      <c r="U13" s="110">
        <f>G13-T13</f>
        <v/>
      </c>
      <c r="V13" s="254" t="n">
        <v>0</v>
      </c>
      <c r="W13" s="254" t="n">
        <v>0</v>
      </c>
      <c r="X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251">
        <f>G3+G6+G7</f>
        <v/>
      </c>
      <c r="H14" s="252">
        <f>H3+H6+H7</f>
        <v/>
      </c>
      <c r="I14" s="253">
        <f>G14-H14</f>
        <v/>
      </c>
      <c r="J14" s="251">
        <f>J3+J6+J7</f>
        <v/>
      </c>
      <c r="K14" s="253">
        <f>G14-J14</f>
        <v/>
      </c>
      <c r="L14" s="157">
        <f>L3+L6+L7</f>
        <v/>
      </c>
      <c r="M14" s="119">
        <f>G14-L14</f>
        <v/>
      </c>
      <c r="N14" s="157">
        <f>N3+N6+N7</f>
        <v/>
      </c>
      <c r="O14" s="119">
        <f>G14-N14</f>
        <v/>
      </c>
      <c r="P14" s="157">
        <f>P3+P6+P7</f>
        <v/>
      </c>
      <c r="Q14" s="119">
        <f>G14-P14</f>
        <v/>
      </c>
      <c r="R14" s="157">
        <f>R3+R6+R7</f>
        <v/>
      </c>
      <c r="S14" s="119">
        <f>G14-R14</f>
        <v/>
      </c>
      <c r="T14" s="157">
        <f>T3+T6+T7</f>
        <v/>
      </c>
      <c r="U14" s="120">
        <f>G14-T14</f>
        <v/>
      </c>
      <c r="V14" s="254" t="n">
        <v>0</v>
      </c>
      <c r="W14" s="254" t="n">
        <v>0</v>
      </c>
      <c r="X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249">
        <f>G14</f>
        <v/>
      </c>
      <c r="H15" s="315" t="n"/>
      <c r="I15" s="253">
        <f>G15-H15</f>
        <v/>
      </c>
      <c r="J15" s="249" t="n"/>
      <c r="K15" s="248" t="n"/>
      <c r="L15" s="450" t="n"/>
      <c r="M15" s="21" t="n"/>
      <c r="N15" s="450" t="n"/>
      <c r="O15" s="21" t="n"/>
      <c r="P15" s="450" t="n"/>
      <c r="Q15" s="21" t="n"/>
      <c r="R15" s="450" t="n"/>
      <c r="S15" s="21" t="n"/>
      <c r="T15" s="450" t="n"/>
      <c r="U15" s="110" t="n"/>
      <c r="V15" s="254" t="n"/>
      <c r="W15" s="254" t="n"/>
      <c r="X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249">
        <f>G4+G6+G7+100</f>
        <v/>
      </c>
      <c r="H16" s="315">
        <f>H4+H6+H7+80+20</f>
        <v/>
      </c>
      <c r="I16" s="253">
        <f>G16-H16</f>
        <v/>
      </c>
      <c r="J16" s="249">
        <f>J4+J6+J7+80+20</f>
        <v/>
      </c>
      <c r="K16" s="248">
        <f>G16-J16</f>
        <v/>
      </c>
      <c r="L16" s="450">
        <f>L4+L6+L7+80</f>
        <v/>
      </c>
      <c r="M16" s="21">
        <f>G16-L16</f>
        <v/>
      </c>
      <c r="N16" s="450">
        <f>N4+N6+N7+80</f>
        <v/>
      </c>
      <c r="O16" s="21">
        <f>G16-N16</f>
        <v/>
      </c>
      <c r="P16" s="450">
        <f>P4+P6+P7+80</f>
        <v/>
      </c>
      <c r="Q16" s="21">
        <f>G16-P16</f>
        <v/>
      </c>
      <c r="R16" s="450">
        <f>R4+R6+R7+80</f>
        <v/>
      </c>
      <c r="S16" s="21">
        <f>G16-R16</f>
        <v/>
      </c>
      <c r="T16" s="450">
        <f>T4+T6+T7+100</f>
        <v/>
      </c>
      <c r="U16" s="110">
        <f>G16-T16</f>
        <v/>
      </c>
      <c r="V16" s="254" t="n">
        <v>100</v>
      </c>
      <c r="W16" s="254" t="n">
        <v>100</v>
      </c>
      <c r="X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249">
        <f>G4+G6+G7+100</f>
        <v/>
      </c>
      <c r="H17" s="315">
        <f>H4+H6+H7+80+20</f>
        <v/>
      </c>
      <c r="I17" s="248">
        <f>G17-H17</f>
        <v/>
      </c>
      <c r="J17" s="249">
        <f>J4+J6+J7+80+20</f>
        <v/>
      </c>
      <c r="K17" s="248">
        <f>G17-J17</f>
        <v/>
      </c>
      <c r="L17" s="450">
        <f>L4+L6+L7+80</f>
        <v/>
      </c>
      <c r="M17" s="21">
        <f>G17-L17</f>
        <v/>
      </c>
      <c r="N17" s="450">
        <f>N4+N6+N7+80</f>
        <v/>
      </c>
      <c r="O17" s="21">
        <f>G17-N17</f>
        <v/>
      </c>
      <c r="P17" s="450">
        <f>P4+P6+P7+80</f>
        <v/>
      </c>
      <c r="Q17" s="21">
        <f>G17-P17</f>
        <v/>
      </c>
      <c r="R17" s="450">
        <f>R4+R6+R7+80</f>
        <v/>
      </c>
      <c r="S17" s="21">
        <f>G17-R17</f>
        <v/>
      </c>
      <c r="T17" s="450">
        <f>T4+T6+T7+100</f>
        <v/>
      </c>
      <c r="U17" s="110">
        <f>G17-T17</f>
        <v/>
      </c>
      <c r="V17" s="254" t="n">
        <v>100</v>
      </c>
      <c r="W17" s="254" t="n">
        <v>100</v>
      </c>
      <c r="X17" s="194" t="n">
        <v>2.003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249">
        <f>G4+G6+G7+30+20</f>
        <v/>
      </c>
      <c r="H18" s="315">
        <f>H4+H6+H7+30+20</f>
        <v/>
      </c>
      <c r="I18" s="248">
        <f>G18-H18</f>
        <v/>
      </c>
      <c r="J18" s="249">
        <f>J4+J6+J7+30+20</f>
        <v/>
      </c>
      <c r="K18" s="248">
        <f>G18-J18</f>
        <v/>
      </c>
      <c r="L18" s="450">
        <f>L4+L6+L7+30</f>
        <v/>
      </c>
      <c r="M18" s="21">
        <f>G18-L18</f>
        <v/>
      </c>
      <c r="N18" s="450">
        <f>N4+N6+N7+30</f>
        <v/>
      </c>
      <c r="O18" s="21">
        <f>G18-N18</f>
        <v/>
      </c>
      <c r="P18" s="450">
        <f>P4+P6+P7+30</f>
        <v/>
      </c>
      <c r="Q18" s="21">
        <f>G18-P18</f>
        <v/>
      </c>
      <c r="R18" s="450">
        <f>R4+R6+R7+30</f>
        <v/>
      </c>
      <c r="S18" s="21">
        <f>G18-R18</f>
        <v/>
      </c>
      <c r="T18" s="450">
        <f>T4+T6+T7+30</f>
        <v/>
      </c>
      <c r="U18" s="110">
        <f>G18-T18</f>
        <v/>
      </c>
      <c r="V18" s="254" t="n">
        <v>50</v>
      </c>
      <c r="W18" s="254" t="n">
        <v>30</v>
      </c>
      <c r="X18" s="194" t="n">
        <v>1.993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249">
        <f>G4+G6+G7+30+20</f>
        <v/>
      </c>
      <c r="H19" s="315">
        <f>H4+H6+H7+30+20</f>
        <v/>
      </c>
      <c r="I19" s="248">
        <f>G19-H19</f>
        <v/>
      </c>
      <c r="J19" s="249">
        <f>J4+J6+J7+30+20</f>
        <v/>
      </c>
      <c r="K19" s="248">
        <f>G19-J19</f>
        <v/>
      </c>
      <c r="L19" s="450">
        <f>L4+L6+L7+30</f>
        <v/>
      </c>
      <c r="M19" s="21">
        <f>G19-L19</f>
        <v/>
      </c>
      <c r="N19" s="450">
        <f>N4+N6+N7+30</f>
        <v/>
      </c>
      <c r="O19" s="21">
        <f>G19-N19</f>
        <v/>
      </c>
      <c r="P19" s="450">
        <f>P4+P6+P7+30</f>
        <v/>
      </c>
      <c r="Q19" s="21">
        <f>G19-P19</f>
        <v/>
      </c>
      <c r="R19" s="450">
        <f>R4+R6+R7+30</f>
        <v/>
      </c>
      <c r="S19" s="21">
        <f>G19-R19</f>
        <v/>
      </c>
      <c r="T19" s="450">
        <f>T4+T6+T7+30</f>
        <v/>
      </c>
      <c r="U19" s="110">
        <f>G19-T19</f>
        <v/>
      </c>
      <c r="V19" s="254" t="n">
        <v>50</v>
      </c>
      <c r="W19" s="254" t="n">
        <v>30</v>
      </c>
      <c r="X19" s="194" t="n">
        <v>2.004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249">
        <f>G4+G6+G7+30+10+10</f>
        <v/>
      </c>
      <c r="H20" s="315">
        <f>H4+H6+H7+30+20</f>
        <v/>
      </c>
      <c r="I20" s="248">
        <f>G20-H20</f>
        <v/>
      </c>
      <c r="J20" s="249">
        <f>J4+J6+J7+30+20</f>
        <v/>
      </c>
      <c r="K20" s="248">
        <f>G20-J20</f>
        <v/>
      </c>
      <c r="L20" s="450">
        <f>L4+L6+L7+20</f>
        <v/>
      </c>
      <c r="M20" s="21">
        <f>G20-L20</f>
        <v/>
      </c>
      <c r="N20" s="450">
        <f>N4+N6+N7+20</f>
        <v/>
      </c>
      <c r="O20" s="21">
        <f>G20-N20</f>
        <v/>
      </c>
      <c r="P20" s="450">
        <f>P4+P6+P7+20</f>
        <v/>
      </c>
      <c r="Q20" s="21">
        <f>G20-P20</f>
        <v/>
      </c>
      <c r="R20" s="450">
        <f>R4+R6+R7+20+10</f>
        <v/>
      </c>
      <c r="S20" s="21">
        <f>G20-R20</f>
        <v/>
      </c>
      <c r="T20" s="450">
        <f>T4+T6+T7</f>
        <v/>
      </c>
      <c r="U20" s="110">
        <f>G20-T20</f>
        <v/>
      </c>
      <c r="V20" s="254" t="n">
        <v>50</v>
      </c>
      <c r="W20" s="254" t="n">
        <v>0</v>
      </c>
      <c r="X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249">
        <f>G4+G6+G7+30+10+10</f>
        <v/>
      </c>
      <c r="H21" s="315">
        <f>H4+H6+H7+30+20</f>
        <v/>
      </c>
      <c r="I21" s="248">
        <f>G21-H21</f>
        <v/>
      </c>
      <c r="J21" s="249">
        <f>J4+J6+J7+30+20</f>
        <v/>
      </c>
      <c r="K21" s="248">
        <f>G21-J21</f>
        <v/>
      </c>
      <c r="L21" s="450">
        <f>L4+L6+L7+20</f>
        <v/>
      </c>
      <c r="M21" s="21">
        <f>G21-L21</f>
        <v/>
      </c>
      <c r="N21" s="450">
        <f>N4+N6+N7+20</f>
        <v/>
      </c>
      <c r="O21" s="21">
        <f>G21-N21</f>
        <v/>
      </c>
      <c r="P21" s="450">
        <f>P4+P6+P7+20</f>
        <v/>
      </c>
      <c r="Q21" s="21">
        <f>G21-P21</f>
        <v/>
      </c>
      <c r="R21" s="450">
        <f>R4+R6+R7+20+10</f>
        <v/>
      </c>
      <c r="S21" s="21">
        <f>G21-R21</f>
        <v/>
      </c>
      <c r="T21" s="450">
        <f>T4+T6+T7</f>
        <v/>
      </c>
      <c r="U21" s="110">
        <f>G21-T21</f>
        <v/>
      </c>
      <c r="V21" s="254" t="n">
        <v>50</v>
      </c>
      <c r="W21" s="254" t="n">
        <v>0</v>
      </c>
      <c r="X21" s="194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255">
        <f>G4+G6+G7</f>
        <v/>
      </c>
      <c r="H22" s="256">
        <f>H4+H6+H7</f>
        <v/>
      </c>
      <c r="I22" s="257">
        <f>G22-H22</f>
        <v/>
      </c>
      <c r="J22" s="255">
        <f>J4+J6+J7</f>
        <v/>
      </c>
      <c r="K22" s="257">
        <f>G22-J22</f>
        <v/>
      </c>
      <c r="L22" s="160">
        <f>L4+L6+L7</f>
        <v/>
      </c>
      <c r="M22" s="258">
        <f>G22-L22</f>
        <v/>
      </c>
      <c r="N22" s="160">
        <f>N4+N6+N7</f>
        <v/>
      </c>
      <c r="O22" s="258">
        <f>G22-N22</f>
        <v/>
      </c>
      <c r="P22" s="160">
        <f>P4+P6+P7</f>
        <v/>
      </c>
      <c r="Q22" s="258">
        <f>G22-P22</f>
        <v/>
      </c>
      <c r="R22" s="160">
        <f>R4+R6+R7</f>
        <v/>
      </c>
      <c r="S22" s="258">
        <f>G22-R22</f>
        <v/>
      </c>
      <c r="T22" s="160">
        <f>T4+T6+T7</f>
        <v/>
      </c>
      <c r="U22" s="259">
        <f>G22-T22</f>
        <v/>
      </c>
      <c r="V22" s="260" t="n">
        <v>0</v>
      </c>
      <c r="W22" s="260" t="n">
        <v>0</v>
      </c>
      <c r="X22" s="124" t="n">
        <v>1.998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255">
        <f>G4+G6+G7</f>
        <v/>
      </c>
      <c r="H23" s="256">
        <f>H4+H6+H7</f>
        <v/>
      </c>
      <c r="I23" s="257">
        <f>G23-H23</f>
        <v/>
      </c>
      <c r="J23" s="255">
        <f>J4+J6+J7</f>
        <v/>
      </c>
      <c r="K23" s="257">
        <f>G23-J23</f>
        <v/>
      </c>
      <c r="L23" s="160">
        <f>L4+L6+L7</f>
        <v/>
      </c>
      <c r="M23" s="258">
        <f>G23-L23</f>
        <v/>
      </c>
      <c r="N23" s="160">
        <f>N4+N6+N7</f>
        <v/>
      </c>
      <c r="O23" s="258">
        <f>G23-N23</f>
        <v/>
      </c>
      <c r="P23" s="160">
        <f>P4+P6+P7</f>
        <v/>
      </c>
      <c r="Q23" s="258">
        <f>G23-P23</f>
        <v/>
      </c>
      <c r="R23" s="160">
        <f>R4+R6+R7</f>
        <v/>
      </c>
      <c r="S23" s="258">
        <f>G23-R23</f>
        <v/>
      </c>
      <c r="T23" s="160">
        <f>T4+T6+T7</f>
        <v/>
      </c>
      <c r="U23" s="259">
        <f>G23-T23</f>
        <v/>
      </c>
      <c r="V23" s="260" t="n">
        <v>0</v>
      </c>
      <c r="W23" s="260" t="n">
        <v>0</v>
      </c>
      <c r="X23" s="124" t="n">
        <v>1.992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249">
        <f>G4+G6+G7+50</f>
        <v/>
      </c>
      <c r="H24" s="315">
        <f>H4+H6+H7+50</f>
        <v/>
      </c>
      <c r="I24" s="248">
        <f>G24-H24</f>
        <v/>
      </c>
      <c r="J24" s="249">
        <f>J4+J6+J7+50</f>
        <v/>
      </c>
      <c r="K24" s="248">
        <f>G24-J24</f>
        <v/>
      </c>
      <c r="L24" s="450">
        <f>L4+L6+L7+50</f>
        <v/>
      </c>
      <c r="M24" s="21">
        <f>G24-L24</f>
        <v/>
      </c>
      <c r="N24" s="450">
        <f>N4+N6+N7+50</f>
        <v/>
      </c>
      <c r="O24" s="21">
        <f>G24-N24</f>
        <v/>
      </c>
      <c r="P24" s="450">
        <f>P4+P6+P7+50</f>
        <v/>
      </c>
      <c r="Q24" s="21">
        <f>G24-P24</f>
        <v/>
      </c>
      <c r="R24" s="450">
        <f>R4+R6+R7+50</f>
        <v/>
      </c>
      <c r="S24" s="21">
        <f>G24-R24</f>
        <v/>
      </c>
      <c r="T24" s="450">
        <f>T4+T6+T7</f>
        <v/>
      </c>
      <c r="U24" s="110">
        <f>G24-T24</f>
        <v/>
      </c>
      <c r="V24" s="254" t="n">
        <v>50</v>
      </c>
      <c r="W24" s="254" t="n">
        <v>0</v>
      </c>
      <c r="X24" s="194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249">
        <f>G4+G6+G7+50</f>
        <v/>
      </c>
      <c r="H25" s="315">
        <f>H4+H6+H7+50</f>
        <v/>
      </c>
      <c r="I25" s="248">
        <f>G25-H25</f>
        <v/>
      </c>
      <c r="J25" s="249">
        <f>J4+J6+J7+50</f>
        <v/>
      </c>
      <c r="K25" s="248">
        <f>G25-J25</f>
        <v/>
      </c>
      <c r="L25" s="450">
        <f>L4+L6+L7+50</f>
        <v/>
      </c>
      <c r="M25" s="21">
        <f>G25-L25</f>
        <v/>
      </c>
      <c r="N25" s="450">
        <f>N4+N6+N7+50</f>
        <v/>
      </c>
      <c r="O25" s="21">
        <f>G25-N25</f>
        <v/>
      </c>
      <c r="P25" s="450">
        <f>P4+P6+P7+50</f>
        <v/>
      </c>
      <c r="Q25" s="21">
        <f>G25-P25</f>
        <v/>
      </c>
      <c r="R25" s="450">
        <f>R4+R6+R7+50</f>
        <v/>
      </c>
      <c r="S25" s="21">
        <f>G25-R25</f>
        <v/>
      </c>
      <c r="T25" s="450">
        <f>T4+T6+T7</f>
        <v/>
      </c>
      <c r="U25" s="110">
        <f>G25-T25</f>
        <v/>
      </c>
      <c r="V25" s="254" t="n">
        <v>50</v>
      </c>
      <c r="W25" s="254" t="n">
        <v>0</v>
      </c>
      <c r="X25" s="194" t="n">
        <v>1.986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315">
        <f>G4+G6+G7+80</f>
        <v/>
      </c>
      <c r="H26" s="315">
        <f>H4+H6+H7+50+30</f>
        <v/>
      </c>
      <c r="I26" s="248">
        <f>G26-H26</f>
        <v/>
      </c>
      <c r="J26" s="315">
        <f>J4+J6+J7+50+30</f>
        <v/>
      </c>
      <c r="K26" s="248">
        <f>G26-J26</f>
        <v/>
      </c>
      <c r="L26" s="450">
        <f>L4+L6+L7+50</f>
        <v/>
      </c>
      <c r="M26" s="21">
        <f>G26-L26</f>
        <v/>
      </c>
      <c r="N26" s="450">
        <f>N4+N6+N7+50</f>
        <v/>
      </c>
      <c r="O26" s="21">
        <f>G26-N26</f>
        <v/>
      </c>
      <c r="P26" s="450">
        <f>P4+P6+P7+50</f>
        <v/>
      </c>
      <c r="Q26" s="21">
        <f>G26-P26</f>
        <v/>
      </c>
      <c r="R26" s="450">
        <f>R4+R6+R7+50</f>
        <v/>
      </c>
      <c r="S26" s="21">
        <f>G26-R26</f>
        <v/>
      </c>
      <c r="T26" s="450">
        <f>T4+T6+T7+30</f>
        <v/>
      </c>
      <c r="U26" s="110">
        <f>G26-T26</f>
        <v/>
      </c>
      <c r="V26" s="376" t="n">
        <v>80</v>
      </c>
      <c r="W26" s="254" t="n">
        <v>30</v>
      </c>
      <c r="X26" s="194" t="n">
        <v>1.985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315">
        <f>G4+G6+G7+50+30</f>
        <v/>
      </c>
      <c r="H27" s="315">
        <f>H4+H6+H7+50+30</f>
        <v/>
      </c>
      <c r="I27" s="248">
        <f>G27-H27</f>
        <v/>
      </c>
      <c r="J27" s="315">
        <f>J4+J6+J7+50+30</f>
        <v/>
      </c>
      <c r="K27" s="248">
        <f>G27-J27</f>
        <v/>
      </c>
      <c r="L27" s="450">
        <f>L4+L6+L7+50</f>
        <v/>
      </c>
      <c r="M27" s="21">
        <f>G27-L27</f>
        <v/>
      </c>
      <c r="N27" s="450">
        <f>N4+N6+N7+50</f>
        <v/>
      </c>
      <c r="O27" s="21">
        <f>G27-N27</f>
        <v/>
      </c>
      <c r="P27" s="450">
        <f>P4+P6+P7+50</f>
        <v/>
      </c>
      <c r="Q27" s="21">
        <f>G27-P27</f>
        <v/>
      </c>
      <c r="R27" s="450">
        <f>R4+R6+R7+50</f>
        <v/>
      </c>
      <c r="S27" s="21">
        <f>G27-R27</f>
        <v/>
      </c>
      <c r="T27" s="450">
        <f>T4+T6+T7+30</f>
        <v/>
      </c>
      <c r="U27" s="110">
        <f>G27-T27</f>
        <v/>
      </c>
      <c r="V27" s="376" t="n">
        <v>80</v>
      </c>
      <c r="W27" s="254" t="n">
        <v>30</v>
      </c>
      <c r="X27" s="194" t="n">
        <v>2.002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315">
        <f>G4+G6+G7+50+30</f>
        <v/>
      </c>
      <c r="H28" s="315">
        <f>H4+H6+H7+80</f>
        <v/>
      </c>
      <c r="I28" s="248">
        <f>G28-H28</f>
        <v/>
      </c>
      <c r="J28" s="315">
        <f>J4+J6+J7+80</f>
        <v/>
      </c>
      <c r="K28" s="248">
        <f>G28-J28</f>
        <v/>
      </c>
      <c r="L28" s="450">
        <f>L4+L6+L7+50</f>
        <v/>
      </c>
      <c r="M28" s="21">
        <f>G28-L28</f>
        <v/>
      </c>
      <c r="N28" s="450">
        <f>N4+N6+N7+50</f>
        <v/>
      </c>
      <c r="O28" s="21">
        <f>G28-N28</f>
        <v/>
      </c>
      <c r="P28" s="450">
        <f>P4+P6+P7+50</f>
        <v/>
      </c>
      <c r="Q28" s="21">
        <f>G28-P28</f>
        <v/>
      </c>
      <c r="R28" s="450">
        <f>R4+R6+R7+50+30</f>
        <v/>
      </c>
      <c r="S28" s="21">
        <f>G28-R28</f>
        <v/>
      </c>
      <c r="T28" s="450">
        <f>T4+T6+T7+60</f>
        <v/>
      </c>
      <c r="U28" s="110">
        <f>G28-T28</f>
        <v/>
      </c>
      <c r="V28" s="254" t="n">
        <v>80</v>
      </c>
      <c r="W28" s="254" t="n">
        <v>60</v>
      </c>
      <c r="X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315">
        <f>G4+G6+G7+50+30</f>
        <v/>
      </c>
      <c r="H29" s="315">
        <f>H4+H6+H7+80</f>
        <v/>
      </c>
      <c r="I29" s="248">
        <f>G29-H29</f>
        <v/>
      </c>
      <c r="J29" s="315">
        <f>J4+J6+J7+80</f>
        <v/>
      </c>
      <c r="K29" s="248">
        <f>G29-J29</f>
        <v/>
      </c>
      <c r="L29" s="450">
        <f>L4+L6+L7+50</f>
        <v/>
      </c>
      <c r="M29" s="21">
        <f>G29-L29</f>
        <v/>
      </c>
      <c r="N29" s="450">
        <f>N4+N6+N7+50</f>
        <v/>
      </c>
      <c r="O29" s="21">
        <f>G29-N29</f>
        <v/>
      </c>
      <c r="P29" s="450">
        <f>P4+P6+P7+50</f>
        <v/>
      </c>
      <c r="Q29" s="21">
        <f>G29-P29</f>
        <v/>
      </c>
      <c r="R29" s="450">
        <f>R4+R6+R7+50+30</f>
        <v/>
      </c>
      <c r="S29" s="21">
        <f>G29-R29</f>
        <v/>
      </c>
      <c r="T29" s="450">
        <f>T4+T6+T7+60</f>
        <v/>
      </c>
      <c r="U29" s="110">
        <f>G29-T29</f>
        <v/>
      </c>
      <c r="V29" s="254" t="n">
        <v>80</v>
      </c>
      <c r="W29" s="254" t="n">
        <v>60</v>
      </c>
      <c r="X29" s="194" t="n">
        <v>1.987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315">
        <f>G4+G6+G7+120+30</f>
        <v/>
      </c>
      <c r="H30" s="315">
        <f>H4+H6+H7+120+30</f>
        <v/>
      </c>
      <c r="I30" s="248">
        <f>G30-H30</f>
        <v/>
      </c>
      <c r="J30" s="315">
        <f>J4+J6+J7+120+30</f>
        <v/>
      </c>
      <c r="K30" s="248">
        <f>G30-J30</f>
        <v/>
      </c>
      <c r="L30" s="450">
        <f>L4+L6+L7+120</f>
        <v/>
      </c>
      <c r="M30" s="21">
        <f>G30-L30</f>
        <v/>
      </c>
      <c r="N30" s="450">
        <f>N4+N6+N7+120</f>
        <v/>
      </c>
      <c r="O30" s="21">
        <f>G30-N30</f>
        <v/>
      </c>
      <c r="P30" s="450">
        <f>P4+P6+P7+120</f>
        <v/>
      </c>
      <c r="Q30" s="21">
        <f>G30-P30</f>
        <v/>
      </c>
      <c r="R30" s="450">
        <f>R4+R6+R7+120</f>
        <v/>
      </c>
      <c r="S30" s="21">
        <f>G30-R30</f>
        <v/>
      </c>
      <c r="T30" s="450">
        <f>T4+T6+T7+120</f>
        <v/>
      </c>
      <c r="U30" s="110">
        <f>G30-T30</f>
        <v/>
      </c>
      <c r="V30" s="254" t="n">
        <v>150</v>
      </c>
      <c r="W30" s="254" t="n">
        <v>120</v>
      </c>
      <c r="X30" s="194" t="n">
        <v>2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315">
        <f>G4+G6+G7+120+30</f>
        <v/>
      </c>
      <c r="H31" s="315">
        <f>H4+H6+H7+120+30</f>
        <v/>
      </c>
      <c r="I31" s="248">
        <f>G31-H31</f>
        <v/>
      </c>
      <c r="J31" s="315">
        <f>J4+J6+J7+120+30</f>
        <v/>
      </c>
      <c r="K31" s="248">
        <f>G31-J31</f>
        <v/>
      </c>
      <c r="L31" s="450">
        <f>L4+L6+L7+120</f>
        <v/>
      </c>
      <c r="M31" s="21">
        <f>G31-L31</f>
        <v/>
      </c>
      <c r="N31" s="450">
        <f>N4+N6+N7+120</f>
        <v/>
      </c>
      <c r="O31" s="21">
        <f>G31-N31</f>
        <v/>
      </c>
      <c r="P31" s="450">
        <f>P4+P6+P7+120</f>
        <v/>
      </c>
      <c r="Q31" s="21">
        <f>G31-P31</f>
        <v/>
      </c>
      <c r="R31" s="450">
        <f>R4+R6+R7+120</f>
        <v/>
      </c>
      <c r="S31" s="21">
        <f>G31-R31</f>
        <v/>
      </c>
      <c r="T31" s="450">
        <f>T4+T6+T7+120</f>
        <v/>
      </c>
      <c r="U31" s="110">
        <f>G31-T31</f>
        <v/>
      </c>
      <c r="V31" s="254" t="n">
        <v>150</v>
      </c>
      <c r="W31" s="254" t="n">
        <v>120</v>
      </c>
      <c r="X31" s="194" t="n">
        <v>1.971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315">
        <f>G4+G6+G7+120+30</f>
        <v/>
      </c>
      <c r="H32" s="315">
        <f>H4+H6+H7+120+30</f>
        <v/>
      </c>
      <c r="I32" s="248">
        <f>G32-H32</f>
        <v/>
      </c>
      <c r="J32" s="315">
        <f>J4+J6+J7+120+30</f>
        <v/>
      </c>
      <c r="K32" s="248">
        <f>G32-J32</f>
        <v/>
      </c>
      <c r="L32" s="450">
        <f>L4+L6+L7+120</f>
        <v/>
      </c>
      <c r="M32" s="21">
        <f>G32-L32</f>
        <v/>
      </c>
      <c r="N32" s="450">
        <f>N4+N6+N7+120</f>
        <v/>
      </c>
      <c r="O32" s="21">
        <f>G32-N32</f>
        <v/>
      </c>
      <c r="P32" s="450">
        <f>P4+P6+P7+120</f>
        <v/>
      </c>
      <c r="Q32" s="21">
        <f>G32-P32</f>
        <v/>
      </c>
      <c r="R32" s="450">
        <f>R4+R6+R7+120</f>
        <v/>
      </c>
      <c r="S32" s="21">
        <f>G32-R32</f>
        <v/>
      </c>
      <c r="T32" s="450">
        <f>T4+T6+T7+120</f>
        <v/>
      </c>
      <c r="U32" s="110">
        <f>G32-T32</f>
        <v/>
      </c>
      <c r="V32" s="254" t="n">
        <v>150</v>
      </c>
      <c r="W32" s="254" t="n">
        <v>120</v>
      </c>
      <c r="X32" s="194" t="n">
        <v>1.988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315">
        <f>G4+G6+G7+120+30</f>
        <v/>
      </c>
      <c r="H33" s="315">
        <f>H4+H6+H7+120+30</f>
        <v/>
      </c>
      <c r="I33" s="248">
        <f>G33-H33</f>
        <v/>
      </c>
      <c r="J33" s="315">
        <f>J4+J6+J7+120+30</f>
        <v/>
      </c>
      <c r="K33" s="248">
        <f>G33-J33</f>
        <v/>
      </c>
      <c r="L33" s="450">
        <f>L4+L6+L7+120</f>
        <v/>
      </c>
      <c r="M33" s="21">
        <f>G33-L33</f>
        <v/>
      </c>
      <c r="N33" s="450">
        <f>N4+N6+N7+120</f>
        <v/>
      </c>
      <c r="O33" s="21">
        <f>G33-N33</f>
        <v/>
      </c>
      <c r="P33" s="450">
        <f>P4+P6+P7+120</f>
        <v/>
      </c>
      <c r="Q33" s="21">
        <f>G33-P33</f>
        <v/>
      </c>
      <c r="R33" s="450">
        <f>R4+R6+R7+120</f>
        <v/>
      </c>
      <c r="S33" s="21">
        <f>G33-R33</f>
        <v/>
      </c>
      <c r="T33" s="450">
        <f>T4+T6+T7+120</f>
        <v/>
      </c>
      <c r="U33" s="110">
        <f>G33-T33</f>
        <v/>
      </c>
      <c r="V33" s="254" t="n">
        <v>150</v>
      </c>
      <c r="W33" s="254" t="n">
        <v>120</v>
      </c>
      <c r="X33" s="194" t="n">
        <v>1.969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261" t="n"/>
      <c r="H34" s="262" t="inlineStr">
        <is>
          <t>铁山/金强</t>
        </is>
      </c>
      <c r="I34" s="528" t="n"/>
      <c r="J34" s="264" t="inlineStr">
        <is>
          <t>方圆/乐福祥</t>
        </is>
      </c>
      <c r="K34" s="528" t="n"/>
      <c r="L34" s="265" t="inlineStr">
        <is>
          <t>宏远/乐福祥</t>
        </is>
      </c>
      <c r="M34" s="529" t="n"/>
      <c r="N34" s="265" t="inlineStr">
        <is>
          <t>铁山/顺朝</t>
        </is>
      </c>
      <c r="O34" s="529" t="n"/>
      <c r="P34" s="265" t="inlineStr">
        <is>
          <t>铁山/顺朝</t>
        </is>
      </c>
      <c r="Q34" s="529" t="n"/>
      <c r="R34" s="265" t="inlineStr">
        <is>
          <t>通配/钢晨</t>
        </is>
      </c>
      <c r="S34" s="529" t="n"/>
      <c r="T34" s="265" t="inlineStr">
        <is>
          <t>南京库</t>
        </is>
      </c>
      <c r="U34" s="529" t="n"/>
      <c r="V34" s="254" t="inlineStr">
        <is>
          <t>HRB500+240</t>
        </is>
      </c>
      <c r="W34" s="254" t="n"/>
      <c r="X34" s="9" t="n"/>
    </row>
    <row r="35" ht="29.25" customHeight="1" s="527">
      <c r="A35" s="269" t="n"/>
      <c r="B35" s="269" t="n"/>
      <c r="C35" s="269" t="n"/>
      <c r="D35" s="269" t="n"/>
      <c r="E35" s="269" t="n"/>
      <c r="F35" s="508" t="inlineStr">
        <is>
          <t>不开票运费</t>
        </is>
      </c>
      <c r="G35" s="256" t="n"/>
      <c r="H35" s="256" t="n"/>
      <c r="I35" s="256" t="n"/>
      <c r="J35" s="256" t="n"/>
      <c r="K35" s="256" t="n"/>
      <c r="L35" s="160" t="n"/>
      <c r="M35" s="531" t="n"/>
      <c r="N35" s="531" t="n"/>
      <c r="O35" s="531" t="n"/>
      <c r="P35" s="531" t="n"/>
      <c r="Q35" s="531" t="n"/>
      <c r="R35" s="530" t="n"/>
      <c r="S35" s="271" t="n"/>
      <c r="T35" s="133" t="n"/>
      <c r="U35" s="486" t="n"/>
      <c r="V35" s="254" t="inlineStr">
        <is>
          <t>HRB600+400</t>
        </is>
      </c>
      <c r="W35" s="254" t="n"/>
      <c r="X35" s="9" t="n"/>
    </row>
    <row r="36">
      <c r="A36" s="523" t="n"/>
      <c r="B36" s="523" t="n"/>
      <c r="C36" s="523" t="n"/>
      <c r="D36" s="523" t="n"/>
      <c r="E36" s="523" t="n"/>
      <c r="F36" s="133" t="n"/>
      <c r="G36" s="274" t="n"/>
      <c r="H36" s="274" t="n"/>
      <c r="I36" s="274" t="n"/>
      <c r="J36" s="274" t="n"/>
      <c r="K36" s="274" t="n"/>
      <c r="L36" s="523" t="n"/>
      <c r="M36" s="523" t="n"/>
      <c r="N36" s="523" t="n"/>
      <c r="O36" s="523" t="n"/>
      <c r="P36" s="523" t="n"/>
      <c r="Q36" s="523" t="n"/>
      <c r="R36" s="523" t="n"/>
      <c r="S36" s="523" t="n"/>
      <c r="T36" s="133" t="n"/>
      <c r="U36" s="275" t="n"/>
      <c r="V36" s="276" t="n"/>
      <c r="W36" s="276" t="n"/>
      <c r="X36" s="9" t="n"/>
    </row>
    <row r="37">
      <c r="A37" s="444" t="n"/>
      <c r="B37" s="444" t="n"/>
      <c r="C37" s="444" t="n"/>
      <c r="D37" s="444" t="n"/>
      <c r="E37" s="444" t="n"/>
      <c r="F37" s="419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4" t="n"/>
      <c r="S37" s="444" t="n"/>
    </row>
    <row r="38">
      <c r="A38" s="444" t="n"/>
      <c r="B38" s="444" t="n"/>
      <c r="C38" s="444" t="n"/>
      <c r="D38" s="444" t="n"/>
      <c r="E38" s="444" t="n"/>
      <c r="F38" s="419" t="n"/>
      <c r="G38" s="444" t="n"/>
      <c r="H38" s="444" t="n"/>
      <c r="I38" s="444" t="n"/>
      <c r="J38" s="444" t="n"/>
      <c r="K38" s="444" t="n"/>
      <c r="L38" s="444" t="n"/>
      <c r="M38" s="444" t="n"/>
      <c r="N38" s="444" t="n"/>
      <c r="O38" s="444" t="n"/>
      <c r="P38" s="444" t="n"/>
      <c r="Q38" s="444" t="n"/>
      <c r="R38" s="444" t="n"/>
      <c r="S38" s="444" t="n"/>
    </row>
    <row r="39">
      <c r="A39" s="444" t="n"/>
      <c r="B39" s="444" t="n"/>
      <c r="C39" s="444" t="n"/>
      <c r="D39" s="444" t="n"/>
      <c r="E39" s="444" t="n"/>
      <c r="F39" s="419" t="n"/>
      <c r="G39" s="444" t="n"/>
      <c r="H39" s="444" t="n"/>
      <c r="I39" s="444" t="n"/>
      <c r="J39" s="444" t="n"/>
      <c r="K39" s="444" t="n"/>
      <c r="L39" s="444" t="n"/>
      <c r="M39" s="444" t="n"/>
      <c r="N39" s="444" t="n"/>
      <c r="O39" s="444" t="n"/>
      <c r="P39" s="444" t="n"/>
      <c r="Q39" s="444" t="n"/>
      <c r="R39" s="444" t="n"/>
      <c r="S39" s="444" t="n"/>
    </row>
    <row r="40">
      <c r="A40" s="444" t="n"/>
      <c r="B40" s="444" t="n"/>
      <c r="C40" s="444" t="n"/>
      <c r="D40" s="444" t="n"/>
      <c r="E40" s="444" t="n"/>
      <c r="F40" s="419" t="n"/>
      <c r="G40" s="444" t="n"/>
      <c r="H40" s="444" t="n"/>
      <c r="I40" s="444" t="n"/>
      <c r="J40" s="444" t="n"/>
      <c r="K40" s="444" t="n"/>
      <c r="L40" s="444" t="n"/>
      <c r="M40" s="444" t="n"/>
      <c r="N40" s="444" t="n"/>
      <c r="O40" s="444" t="n"/>
      <c r="P40" s="444" t="n"/>
      <c r="Q40" s="444" t="n"/>
      <c r="R40" s="444" t="n"/>
      <c r="S40" s="444" t="n"/>
    </row>
    <row r="41">
      <c r="A41" s="444" t="n"/>
      <c r="B41" s="444" t="n"/>
      <c r="C41" s="444" t="n"/>
      <c r="D41" s="444" t="n"/>
      <c r="E41" s="444" t="n"/>
      <c r="F41" s="419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4" t="n"/>
      <c r="S41" s="444" t="n"/>
    </row>
    <row r="42">
      <c r="A42" s="444" t="n"/>
      <c r="B42" s="444" t="n"/>
      <c r="C42" s="444" t="n"/>
      <c r="D42" s="444" t="n"/>
      <c r="E42" s="444" t="n"/>
      <c r="F42" s="419" t="n"/>
      <c r="G42" s="444" t="n"/>
      <c r="H42" s="444" t="n"/>
      <c r="I42" s="444" t="n"/>
      <c r="J42" s="444" t="n"/>
      <c r="K42" s="444" t="n"/>
      <c r="L42" s="444" t="n"/>
      <c r="M42" s="444" t="n"/>
      <c r="N42" s="444" t="n"/>
      <c r="O42" s="444" t="n"/>
      <c r="P42" s="444" t="n"/>
      <c r="Q42" s="444" t="n"/>
      <c r="R42" s="444" t="n"/>
      <c r="S42" s="444" t="n"/>
    </row>
    <row r="43">
      <c r="A43" s="444" t="n"/>
      <c r="B43" s="444" t="n"/>
      <c r="C43" s="444" t="n"/>
      <c r="D43" s="444" t="n"/>
      <c r="E43" s="444" t="n"/>
      <c r="F43" s="419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4" t="n"/>
      <c r="S43" s="444" t="n"/>
    </row>
    <row r="44">
      <c r="A44" s="444" t="n"/>
      <c r="B44" s="444" t="n"/>
      <c r="C44" s="444" t="n"/>
      <c r="D44" s="444" t="n"/>
      <c r="E44" s="444" t="n"/>
      <c r="F44" s="419" t="n"/>
      <c r="G44" s="444" t="n"/>
      <c r="H44" s="444" t="n"/>
      <c r="I44" s="444" t="n"/>
      <c r="J44" s="444" t="n"/>
      <c r="K44" s="444" t="n"/>
      <c r="L44" s="444" t="n"/>
      <c r="M44" s="444" t="n"/>
      <c r="N44" s="444" t="n"/>
      <c r="O44" s="444" t="n"/>
      <c r="P44" s="444" t="n"/>
      <c r="Q44" s="444" t="n"/>
      <c r="R44" s="444" t="n"/>
      <c r="S44" s="444" t="n"/>
    </row>
    <row r="45">
      <c r="A45" s="444" t="n"/>
      <c r="B45" s="444" t="n"/>
      <c r="C45" s="444" t="n"/>
      <c r="D45" s="444" t="n"/>
      <c r="E45" s="444" t="n"/>
      <c r="F45" s="419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4" t="n"/>
      <c r="S45" s="444" t="n"/>
    </row>
    <row r="46">
      <c r="A46" s="444" t="n"/>
      <c r="B46" s="444" t="n"/>
      <c r="C46" s="444" t="n"/>
      <c r="D46" s="444" t="n"/>
      <c r="E46" s="444" t="n"/>
      <c r="F46" s="419" t="n"/>
      <c r="G46" s="444" t="n"/>
      <c r="H46" s="444" t="n"/>
      <c r="I46" s="444" t="n"/>
      <c r="J46" s="444" t="n"/>
      <c r="K46" s="444" t="n"/>
      <c r="L46" s="444" t="n"/>
      <c r="M46" s="444" t="n"/>
      <c r="N46" s="444" t="n"/>
      <c r="O46" s="444" t="n"/>
      <c r="P46" s="444" t="n"/>
      <c r="Q46" s="444" t="n"/>
      <c r="R46" s="444" t="n"/>
      <c r="S46" s="444" t="n"/>
    </row>
    <row r="47">
      <c r="A47" s="444" t="n"/>
      <c r="B47" s="444" t="n"/>
      <c r="C47" s="444" t="n"/>
      <c r="D47" s="444" t="n"/>
      <c r="E47" s="444" t="n"/>
      <c r="F47" s="419" t="n"/>
      <c r="G47" s="444" t="n"/>
      <c r="H47" s="444" t="n"/>
      <c r="I47" s="444" t="n"/>
      <c r="J47" s="444" t="n"/>
      <c r="K47" s="444" t="n"/>
      <c r="L47" s="444" t="n"/>
      <c r="M47" s="444" t="n"/>
      <c r="N47" s="444" t="n"/>
      <c r="O47" s="444" t="n"/>
      <c r="P47" s="444" t="n"/>
      <c r="Q47" s="444" t="n"/>
      <c r="R47" s="444" t="n"/>
      <c r="S47" s="444" t="n"/>
    </row>
    <row r="48">
      <c r="A48" s="444" t="n"/>
      <c r="B48" s="444" t="n"/>
      <c r="C48" s="444" t="n"/>
      <c r="D48" s="444" t="n"/>
      <c r="E48" s="444" t="n"/>
      <c r="F48" s="419" t="n"/>
      <c r="G48" s="444" t="n"/>
      <c r="H48" s="444" t="n"/>
      <c r="I48" s="444" t="n"/>
      <c r="J48" s="444" t="n"/>
      <c r="K48" s="444" t="n"/>
      <c r="L48" s="444" t="n"/>
      <c r="M48" s="444" t="n"/>
      <c r="N48" s="444" t="n"/>
      <c r="O48" s="444" t="n"/>
      <c r="P48" s="444" t="n"/>
      <c r="Q48" s="444" t="n"/>
      <c r="R48" s="444" t="n"/>
      <c r="S48" s="444" t="n"/>
    </row>
    <row r="49">
      <c r="A49" s="444" t="n"/>
      <c r="B49" s="444" t="n"/>
      <c r="C49" s="444" t="n"/>
      <c r="D49" s="444" t="n"/>
      <c r="E49" s="444" t="n"/>
      <c r="F49" s="419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4" t="n"/>
      <c r="S49" s="444" t="n"/>
    </row>
    <row r="50">
      <c r="A50" s="444" t="n"/>
      <c r="B50" s="444" t="n"/>
      <c r="C50" s="444" t="n"/>
      <c r="D50" s="444" t="n"/>
      <c r="E50" s="444" t="n"/>
      <c r="F50" s="419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4" t="n"/>
      <c r="S50" s="444" t="n"/>
    </row>
    <row r="51">
      <c r="A51" s="444" t="n"/>
      <c r="B51" s="444" t="n"/>
      <c r="C51" s="444" t="n"/>
      <c r="D51" s="444" t="n"/>
      <c r="E51" s="444" t="n"/>
      <c r="F51" s="419" t="n"/>
      <c r="G51" s="444" t="n"/>
      <c r="H51" s="444" t="n"/>
      <c r="I51" s="444" t="n"/>
      <c r="J51" s="444" t="n"/>
      <c r="K51" s="444" t="n"/>
      <c r="L51" s="444" t="n"/>
      <c r="M51" s="444" t="n"/>
      <c r="N51" s="444" t="n"/>
      <c r="O51" s="444" t="n"/>
      <c r="P51" s="444" t="n"/>
      <c r="Q51" s="444" t="n"/>
      <c r="R51" s="444" t="n"/>
      <c r="S51" s="444" t="n"/>
    </row>
    <row r="52">
      <c r="A52" s="444" t="n"/>
      <c r="B52" s="444" t="n"/>
      <c r="C52" s="444" t="n"/>
      <c r="D52" s="444" t="n"/>
      <c r="E52" s="444" t="n"/>
      <c r="F52" s="419" t="n"/>
      <c r="G52" s="444" t="n"/>
      <c r="H52" s="444" t="n"/>
      <c r="I52" s="444" t="n"/>
      <c r="J52" s="444" t="n"/>
      <c r="K52" s="444" t="n"/>
      <c r="L52" s="444" t="n"/>
      <c r="M52" s="444" t="n"/>
      <c r="N52" s="444" t="n"/>
      <c r="O52" s="444" t="n"/>
      <c r="P52" s="444" t="n"/>
      <c r="Q52" s="444" t="n"/>
      <c r="R52" s="444" t="n"/>
      <c r="S52" s="444" t="n"/>
    </row>
    <row r="53">
      <c r="A53" s="444" t="n"/>
      <c r="B53" s="444" t="n"/>
      <c r="C53" s="444" t="n"/>
      <c r="D53" s="444" t="n"/>
      <c r="E53" s="444" t="n"/>
      <c r="F53" s="419" t="n"/>
      <c r="G53" s="444" t="n"/>
      <c r="H53" s="444" t="n"/>
      <c r="I53" s="444" t="n"/>
      <c r="J53" s="444" t="n"/>
      <c r="K53" s="444" t="n"/>
      <c r="L53" s="444" t="n"/>
      <c r="M53" s="444" t="n"/>
      <c r="N53" s="444" t="n"/>
      <c r="O53" s="444" t="n"/>
      <c r="P53" s="444" t="n"/>
      <c r="Q53" s="444" t="n"/>
      <c r="R53" s="444" t="n"/>
      <c r="S53" s="444" t="n"/>
    </row>
    <row r="54">
      <c r="A54" s="444" t="n"/>
      <c r="B54" s="444" t="n"/>
      <c r="C54" s="444" t="n"/>
      <c r="D54" s="444" t="n"/>
      <c r="E54" s="444" t="n"/>
      <c r="F54" s="419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4" t="n"/>
      <c r="S54" s="444" t="n"/>
    </row>
    <row r="55">
      <c r="A55" s="444" t="n"/>
      <c r="B55" s="444" t="n"/>
      <c r="C55" s="444" t="n"/>
      <c r="D55" s="444" t="n"/>
      <c r="E55" s="444" t="n"/>
      <c r="F55" s="419" t="n"/>
      <c r="G55" s="444" t="n"/>
      <c r="H55" s="444" t="n"/>
      <c r="I55" s="444" t="n"/>
      <c r="J55" s="444" t="n"/>
      <c r="K55" s="444" t="n"/>
      <c r="L55" s="444" t="n"/>
      <c r="M55" s="444" t="n"/>
      <c r="N55" s="444" t="n"/>
      <c r="O55" s="444" t="n"/>
      <c r="P55" s="444" t="n"/>
      <c r="Q55" s="444" t="n"/>
      <c r="R55" s="444" t="n"/>
      <c r="S55" s="444" t="n"/>
    </row>
    <row r="56">
      <c r="A56" s="444" t="n"/>
      <c r="B56" s="444" t="n"/>
      <c r="C56" s="444" t="n"/>
      <c r="D56" s="444" t="n"/>
      <c r="E56" s="444" t="n"/>
      <c r="F56" s="419" t="n"/>
      <c r="G56" s="444" t="n"/>
      <c r="H56" s="444" t="n"/>
      <c r="I56" s="444" t="n"/>
      <c r="J56" s="444" t="n"/>
      <c r="K56" s="444" t="n"/>
      <c r="L56" s="444" t="n"/>
      <c r="M56" s="444" t="n"/>
      <c r="N56" s="444" t="n"/>
      <c r="O56" s="444" t="n"/>
      <c r="P56" s="444" t="n"/>
      <c r="Q56" s="444" t="n"/>
      <c r="R56" s="444" t="n"/>
      <c r="S56" s="444" t="n"/>
    </row>
    <row r="57">
      <c r="A57" s="444" t="n"/>
      <c r="B57" s="444" t="n"/>
      <c r="C57" s="444" t="n"/>
      <c r="D57" s="444" t="n"/>
      <c r="E57" s="444" t="n"/>
      <c r="F57" s="419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4" t="n"/>
      <c r="S57" s="444" t="n"/>
    </row>
    <row r="58">
      <c r="A58" s="444" t="n"/>
      <c r="B58" s="444" t="n"/>
      <c r="C58" s="444" t="n"/>
      <c r="D58" s="444" t="n"/>
      <c r="E58" s="444" t="n"/>
      <c r="F58" s="419" t="n"/>
      <c r="G58" s="444" t="n"/>
      <c r="H58" s="444" t="n"/>
      <c r="I58" s="444" t="n"/>
      <c r="J58" s="444" t="n"/>
      <c r="K58" s="444" t="n"/>
      <c r="L58" s="444" t="n"/>
      <c r="M58" s="444" t="n"/>
      <c r="N58" s="444" t="n"/>
      <c r="O58" s="444" t="n"/>
      <c r="P58" s="444" t="n"/>
      <c r="Q58" s="444" t="n"/>
      <c r="R58" s="444" t="n"/>
      <c r="S58" s="444" t="n"/>
    </row>
    <row r="59">
      <c r="A59" s="444" t="n"/>
      <c r="B59" s="444" t="n"/>
      <c r="C59" s="444" t="n"/>
      <c r="D59" s="444" t="n"/>
      <c r="E59" s="444" t="n"/>
      <c r="F59" s="419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4" t="n"/>
      <c r="S59" s="444" t="n"/>
    </row>
    <row r="60">
      <c r="A60" s="444" t="n"/>
      <c r="B60" s="444" t="n"/>
      <c r="C60" s="444" t="n"/>
      <c r="D60" s="444" t="n"/>
      <c r="E60" s="444" t="n"/>
      <c r="F60" s="419" t="n"/>
      <c r="G60" s="444" t="n"/>
      <c r="H60" s="444" t="n"/>
      <c r="I60" s="444" t="n"/>
      <c r="J60" s="444" t="n"/>
      <c r="K60" s="444" t="n"/>
      <c r="L60" s="444" t="n"/>
      <c r="M60" s="444" t="n"/>
      <c r="N60" s="444" t="n"/>
      <c r="O60" s="444" t="n"/>
      <c r="P60" s="444" t="n"/>
      <c r="Q60" s="444" t="n"/>
      <c r="R60" s="444" t="n"/>
      <c r="S60" s="444" t="n"/>
    </row>
    <row r="61">
      <c r="A61" s="444" t="n"/>
      <c r="B61" s="444" t="n"/>
      <c r="C61" s="444" t="n"/>
      <c r="D61" s="444" t="n"/>
      <c r="E61" s="444" t="n"/>
      <c r="F61" s="419" t="n"/>
      <c r="G61" s="444" t="n"/>
      <c r="H61" s="444" t="n"/>
      <c r="I61" s="444" t="n"/>
      <c r="J61" s="444" t="n"/>
      <c r="K61" s="444" t="n"/>
      <c r="L61" s="444" t="n"/>
      <c r="M61" s="444" t="n"/>
      <c r="N61" s="444" t="n"/>
      <c r="O61" s="444" t="n"/>
      <c r="P61" s="444" t="n"/>
      <c r="Q61" s="444" t="n"/>
      <c r="R61" s="444" t="n"/>
      <c r="S61" s="444" t="n"/>
    </row>
    <row r="62">
      <c r="A62" s="444" t="n"/>
      <c r="B62" s="444" t="n"/>
      <c r="C62" s="444" t="n"/>
      <c r="D62" s="444" t="n"/>
      <c r="E62" s="444" t="n"/>
      <c r="F62" s="419" t="n"/>
      <c r="G62" s="444" t="n"/>
      <c r="H62" s="444" t="n"/>
      <c r="I62" s="444" t="n"/>
      <c r="J62" s="444" t="n"/>
      <c r="K62" s="444" t="n"/>
      <c r="L62" s="444" t="n"/>
      <c r="M62" s="444" t="n"/>
      <c r="N62" s="444" t="n"/>
      <c r="O62" s="444" t="n"/>
      <c r="P62" s="444" t="n"/>
      <c r="Q62" s="444" t="n"/>
      <c r="R62" s="444" t="n"/>
      <c r="S62" s="444" t="n"/>
    </row>
    <row r="63">
      <c r="A63" s="444" t="n"/>
      <c r="B63" s="444" t="n"/>
      <c r="C63" s="444" t="n"/>
      <c r="D63" s="444" t="n"/>
      <c r="E63" s="444" t="n"/>
      <c r="F63" s="419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4" t="n"/>
      <c r="S63" s="444" t="n"/>
    </row>
    <row r="64">
      <c r="A64" s="444" t="n"/>
      <c r="B64" s="444" t="n"/>
      <c r="C64" s="444" t="n"/>
      <c r="D64" s="444" t="n"/>
      <c r="E64" s="444" t="n"/>
      <c r="F64" s="419" t="n"/>
      <c r="G64" s="444" t="n"/>
      <c r="H64" s="444" t="n"/>
      <c r="I64" s="444" t="n"/>
      <c r="J64" s="444" t="n"/>
      <c r="K64" s="444" t="n"/>
      <c r="L64" s="444" t="n"/>
      <c r="M64" s="444" t="n"/>
      <c r="N64" s="444" t="n"/>
      <c r="O64" s="444" t="n"/>
      <c r="P64" s="444" t="n"/>
      <c r="Q64" s="444" t="n"/>
      <c r="R64" s="444" t="n"/>
      <c r="S64" s="444" t="n"/>
    </row>
    <row r="65">
      <c r="A65" s="444" t="n"/>
      <c r="B65" s="444" t="n"/>
      <c r="C65" s="444" t="n"/>
      <c r="D65" s="444" t="n"/>
      <c r="E65" s="444" t="n"/>
      <c r="F65" s="419" t="n"/>
      <c r="G65" s="444" t="n"/>
      <c r="H65" s="444" t="n"/>
      <c r="I65" s="444" t="n"/>
      <c r="J65" s="444" t="n"/>
      <c r="K65" s="444" t="n"/>
      <c r="L65" s="444" t="n"/>
      <c r="M65" s="444" t="n"/>
      <c r="N65" s="444" t="n"/>
      <c r="O65" s="444" t="n"/>
      <c r="P65" s="444" t="n"/>
      <c r="Q65" s="444" t="n"/>
      <c r="R65" s="444" t="n"/>
      <c r="S65" s="444" t="n"/>
    </row>
    <row r="66">
      <c r="A66" s="444" t="n"/>
      <c r="B66" s="444" t="n"/>
      <c r="C66" s="444" t="n"/>
      <c r="D66" s="444" t="n"/>
      <c r="E66" s="444" t="n"/>
      <c r="F66" s="419" t="n"/>
      <c r="G66" s="444" t="n"/>
      <c r="H66" s="444" t="n"/>
      <c r="I66" s="444" t="n"/>
      <c r="J66" s="444" t="n"/>
      <c r="K66" s="444" t="n"/>
      <c r="L66" s="444" t="n"/>
      <c r="M66" s="444" t="n"/>
      <c r="N66" s="444" t="n"/>
      <c r="O66" s="444" t="n"/>
      <c r="P66" s="444" t="n"/>
      <c r="Q66" s="444" t="n"/>
      <c r="R66" s="444" t="n"/>
      <c r="S66" s="444" t="n"/>
    </row>
    <row r="67">
      <c r="A67" s="444" t="n"/>
      <c r="B67" s="444" t="n"/>
      <c r="C67" s="444" t="n"/>
      <c r="D67" s="444" t="n"/>
      <c r="E67" s="444" t="n"/>
      <c r="F67" s="419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4" t="n"/>
      <c r="S67" s="444" t="n"/>
    </row>
    <row r="68">
      <c r="A68" s="444" t="n"/>
      <c r="B68" s="444" t="n"/>
      <c r="C68" s="444" t="n"/>
      <c r="D68" s="444" t="n"/>
      <c r="E68" s="444" t="n"/>
      <c r="F68" s="419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4" t="n"/>
      <c r="S68" s="444" t="n"/>
    </row>
    <row r="69">
      <c r="A69" s="444" t="n"/>
      <c r="B69" s="444" t="n"/>
      <c r="C69" s="444" t="n"/>
      <c r="D69" s="444" t="n"/>
      <c r="E69" s="444" t="n"/>
      <c r="F69" s="419" t="n"/>
      <c r="G69" s="444" t="n"/>
      <c r="H69" s="444" t="n"/>
      <c r="I69" s="444" t="n"/>
      <c r="J69" s="444" t="n"/>
      <c r="K69" s="444" t="n"/>
      <c r="L69" s="444" t="n"/>
      <c r="M69" s="444" t="n"/>
      <c r="N69" s="444" t="n"/>
      <c r="O69" s="444" t="n"/>
      <c r="P69" s="444" t="n"/>
      <c r="Q69" s="444" t="n"/>
      <c r="R69" s="444" t="n"/>
      <c r="S69" s="444" t="n"/>
    </row>
    <row r="70">
      <c r="A70" s="444" t="n"/>
      <c r="B70" s="444" t="n"/>
      <c r="C70" s="444" t="n"/>
      <c r="D70" s="444" t="n"/>
      <c r="E70" s="444" t="n"/>
      <c r="F70" s="419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4" t="n"/>
      <c r="S70" s="444" t="n"/>
    </row>
    <row r="71">
      <c r="A71" s="444" t="n"/>
      <c r="B71" s="444" t="n"/>
      <c r="C71" s="444" t="n"/>
      <c r="D71" s="444" t="n"/>
      <c r="E71" s="444" t="n"/>
      <c r="F71" s="419" t="n"/>
      <c r="G71" s="444" t="n"/>
      <c r="H71" s="444" t="n"/>
      <c r="I71" s="444" t="n"/>
      <c r="J71" s="444" t="n"/>
      <c r="K71" s="444" t="n"/>
      <c r="L71" s="444" t="n"/>
      <c r="M71" s="444" t="n"/>
      <c r="N71" s="444" t="n"/>
      <c r="O71" s="444" t="n"/>
      <c r="P71" s="444" t="n"/>
      <c r="Q71" s="444" t="n"/>
      <c r="R71" s="444" t="n"/>
      <c r="S71" s="444" t="n"/>
    </row>
    <row r="72">
      <c r="A72" s="444" t="n"/>
      <c r="B72" s="444" t="n"/>
      <c r="C72" s="444" t="n"/>
      <c r="D72" s="444" t="n"/>
      <c r="E72" s="444" t="n"/>
      <c r="F72" s="419" t="n"/>
      <c r="G72" s="444" t="n"/>
      <c r="H72" s="444" t="n"/>
      <c r="I72" s="444" t="n"/>
      <c r="J72" s="444" t="n"/>
      <c r="K72" s="444" t="n"/>
      <c r="L72" s="444" t="n"/>
      <c r="M72" s="444" t="n"/>
      <c r="N72" s="444" t="n"/>
      <c r="O72" s="444" t="n"/>
      <c r="P72" s="444" t="n"/>
      <c r="Q72" s="444" t="n"/>
      <c r="R72" s="444" t="n"/>
      <c r="S72" s="444" t="n"/>
    </row>
    <row r="73">
      <c r="A73" s="444" t="n"/>
      <c r="B73" s="444" t="n"/>
      <c r="C73" s="444" t="n"/>
      <c r="D73" s="444" t="n"/>
      <c r="E73" s="444" t="n"/>
      <c r="F73" s="419" t="n"/>
      <c r="G73" s="444" t="n"/>
      <c r="H73" s="444" t="n"/>
      <c r="I73" s="444" t="n"/>
      <c r="J73" s="444" t="n"/>
      <c r="K73" s="444" t="n"/>
      <c r="L73" s="444" t="n"/>
      <c r="M73" s="444" t="n"/>
      <c r="N73" s="444" t="n"/>
      <c r="O73" s="444" t="n"/>
      <c r="P73" s="444" t="n"/>
      <c r="Q73" s="444" t="n"/>
      <c r="R73" s="444" t="n"/>
      <c r="S73" s="444" t="n"/>
    </row>
    <row r="74">
      <c r="A74" s="444" t="n"/>
      <c r="B74" s="444" t="n"/>
      <c r="C74" s="444" t="n"/>
      <c r="D74" s="444" t="n"/>
      <c r="E74" s="444" t="n"/>
      <c r="F74" s="419" t="n"/>
      <c r="G74" s="444" t="n"/>
      <c r="H74" s="444" t="n"/>
      <c r="I74" s="444" t="n"/>
      <c r="J74" s="444" t="n"/>
      <c r="K74" s="444" t="n"/>
      <c r="L74" s="444" t="n"/>
      <c r="M74" s="444" t="n"/>
      <c r="N74" s="444" t="n"/>
      <c r="O74" s="444" t="n"/>
      <c r="P74" s="444" t="n"/>
      <c r="Q74" s="444" t="n"/>
      <c r="R74" s="444" t="n"/>
      <c r="S74" s="444" t="n"/>
    </row>
    <row r="75">
      <c r="A75" s="444" t="n"/>
      <c r="B75" s="444" t="n"/>
      <c r="C75" s="444" t="n"/>
      <c r="D75" s="444" t="n"/>
      <c r="E75" s="444" t="n"/>
      <c r="F75" s="419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4" t="n"/>
      <c r="S75" s="444" t="n"/>
    </row>
    <row r="76">
      <c r="A76" s="444" t="n"/>
      <c r="B76" s="444" t="n"/>
      <c r="C76" s="444" t="n"/>
      <c r="D76" s="444" t="n"/>
      <c r="E76" s="444" t="n"/>
      <c r="F76" s="419" t="n"/>
      <c r="G76" s="444" t="n"/>
      <c r="H76" s="444" t="n"/>
      <c r="I76" s="444" t="n"/>
      <c r="J76" s="444" t="n"/>
      <c r="K76" s="444" t="n"/>
      <c r="L76" s="444" t="n"/>
      <c r="M76" s="444" t="n"/>
      <c r="N76" s="444" t="n"/>
      <c r="O76" s="444" t="n"/>
      <c r="P76" s="444" t="n"/>
      <c r="Q76" s="444" t="n"/>
      <c r="R76" s="444" t="n"/>
      <c r="S76" s="444" t="n"/>
    </row>
    <row r="77">
      <c r="A77" s="444" t="n"/>
      <c r="B77" s="444" t="n"/>
      <c r="C77" s="444" t="n"/>
      <c r="D77" s="444" t="n"/>
      <c r="E77" s="444" t="n"/>
      <c r="F77" s="419" t="n"/>
      <c r="G77" s="444" t="n"/>
      <c r="H77" s="444" t="n"/>
      <c r="I77" s="444" t="n"/>
      <c r="J77" s="444" t="n"/>
      <c r="K77" s="444" t="n"/>
      <c r="L77" s="444" t="n"/>
      <c r="M77" s="444" t="n"/>
      <c r="N77" s="444" t="n"/>
      <c r="O77" s="444" t="n"/>
      <c r="P77" s="444" t="n"/>
      <c r="Q77" s="444" t="n"/>
      <c r="R77" s="444" t="n"/>
      <c r="S77" s="444" t="n"/>
    </row>
    <row r="78">
      <c r="A78" s="444" t="n"/>
      <c r="B78" s="444" t="n"/>
      <c r="C78" s="444" t="n"/>
      <c r="D78" s="444" t="n"/>
      <c r="E78" s="444" t="n"/>
      <c r="F78" s="419" t="n"/>
      <c r="G78" s="444" t="n"/>
      <c r="H78" s="444" t="n"/>
      <c r="I78" s="444" t="n"/>
      <c r="J78" s="444" t="n"/>
      <c r="K78" s="444" t="n"/>
      <c r="L78" s="444" t="n"/>
      <c r="M78" s="444" t="n"/>
      <c r="N78" s="444" t="n"/>
      <c r="O78" s="444" t="n"/>
      <c r="P78" s="444" t="n"/>
      <c r="Q78" s="444" t="n"/>
      <c r="R78" s="444" t="n"/>
      <c r="S78" s="444" t="n"/>
    </row>
    <row r="79">
      <c r="A79" s="444" t="n"/>
      <c r="B79" s="444" t="n"/>
      <c r="C79" s="444" t="n"/>
      <c r="D79" s="444" t="n"/>
      <c r="E79" s="444" t="n"/>
      <c r="F79" s="419" t="n"/>
      <c r="G79" s="444" t="n"/>
      <c r="H79" s="444" t="n"/>
      <c r="I79" s="444" t="n"/>
      <c r="J79" s="444" t="n"/>
      <c r="K79" s="444" t="n"/>
      <c r="L79" s="444" t="n"/>
      <c r="M79" s="444" t="n"/>
      <c r="N79" s="444" t="n"/>
      <c r="O79" s="444" t="n"/>
      <c r="P79" s="444" t="n"/>
      <c r="Q79" s="444" t="n"/>
      <c r="R79" s="444" t="n"/>
      <c r="S79" s="444" t="n"/>
    </row>
    <row r="80">
      <c r="A80" s="444" t="n"/>
      <c r="B80" s="444" t="n"/>
      <c r="C80" s="444" t="n"/>
      <c r="D80" s="444" t="n"/>
      <c r="E80" s="444" t="n"/>
      <c r="F80" s="419" t="n"/>
      <c r="G80" s="444" t="n"/>
      <c r="H80" s="444" t="n"/>
      <c r="I80" s="444" t="n"/>
      <c r="J80" s="444" t="n"/>
      <c r="K80" s="444" t="n"/>
      <c r="L80" s="444" t="n"/>
      <c r="M80" s="444" t="n"/>
      <c r="N80" s="444" t="n"/>
      <c r="O80" s="444" t="n"/>
      <c r="P80" s="444" t="n"/>
      <c r="Q80" s="444" t="n"/>
      <c r="R80" s="444" t="n"/>
      <c r="S80" s="444" t="n"/>
    </row>
    <row r="81">
      <c r="A81" s="444" t="n"/>
      <c r="B81" s="444" t="n"/>
      <c r="C81" s="444" t="n"/>
      <c r="D81" s="444" t="n"/>
      <c r="E81" s="444" t="n"/>
      <c r="F81" s="419" t="n"/>
      <c r="G81" s="444" t="n"/>
      <c r="H81" s="444" t="n"/>
      <c r="I81" s="444" t="n"/>
      <c r="J81" s="444" t="n"/>
      <c r="K81" s="444" t="n"/>
      <c r="L81" s="444" t="n"/>
      <c r="M81" s="444" t="n"/>
      <c r="N81" s="444" t="n"/>
      <c r="O81" s="444" t="n"/>
      <c r="P81" s="444" t="n"/>
      <c r="Q81" s="444" t="n"/>
      <c r="R81" s="444" t="n"/>
      <c r="S81" s="444" t="n"/>
    </row>
    <row r="82">
      <c r="A82" s="444" t="n"/>
      <c r="B82" s="444" t="n"/>
      <c r="C82" s="444" t="n"/>
      <c r="D82" s="444" t="n"/>
      <c r="E82" s="444" t="n"/>
      <c r="F82" s="419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4" t="n"/>
      <c r="S82" s="444" t="n"/>
    </row>
    <row r="83">
      <c r="A83" s="444" t="n"/>
      <c r="B83" s="444" t="n"/>
      <c r="C83" s="444" t="n"/>
      <c r="D83" s="444" t="n"/>
      <c r="E83" s="444" t="n"/>
      <c r="F83" s="419" t="n"/>
      <c r="G83" s="444" t="n"/>
      <c r="H83" s="444" t="n"/>
      <c r="I83" s="444" t="n"/>
      <c r="J83" s="444" t="n"/>
      <c r="K83" s="444" t="n"/>
      <c r="L83" s="444" t="n"/>
      <c r="M83" s="444" t="n"/>
      <c r="N83" s="444" t="n"/>
      <c r="O83" s="444" t="n"/>
      <c r="P83" s="444" t="n"/>
      <c r="Q83" s="444" t="n"/>
      <c r="R83" s="444" t="n"/>
      <c r="S83" s="444" t="n"/>
    </row>
    <row r="84">
      <c r="A84" s="444" t="n"/>
      <c r="B84" s="444" t="n"/>
      <c r="C84" s="444" t="n"/>
      <c r="D84" s="444" t="n"/>
      <c r="E84" s="444" t="n"/>
      <c r="F84" s="419" t="n"/>
      <c r="G84" s="444" t="n"/>
      <c r="H84" s="444" t="n"/>
      <c r="I84" s="444" t="n"/>
      <c r="J84" s="444" t="n"/>
      <c r="K84" s="444" t="n"/>
      <c r="L84" s="444" t="n"/>
      <c r="M84" s="444" t="n"/>
      <c r="N84" s="444" t="n"/>
      <c r="O84" s="444" t="n"/>
      <c r="P84" s="444" t="n"/>
      <c r="Q84" s="444" t="n"/>
      <c r="R84" s="444" t="n"/>
      <c r="S84" s="444" t="n"/>
    </row>
    <row r="85">
      <c r="A85" s="444" t="n"/>
      <c r="B85" s="444" t="n"/>
      <c r="C85" s="444" t="n"/>
      <c r="D85" s="444" t="n"/>
      <c r="E85" s="444" t="n"/>
      <c r="F85" s="419" t="n"/>
      <c r="G85" s="444" t="n"/>
      <c r="H85" s="444" t="n"/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/>
      <c r="R85" s="444" t="n"/>
      <c r="S85" s="444" t="n"/>
    </row>
    <row r="86">
      <c r="A86" s="444" t="n"/>
      <c r="B86" s="444" t="n"/>
      <c r="C86" s="444" t="n"/>
      <c r="D86" s="444" t="n"/>
      <c r="E86" s="444" t="n"/>
      <c r="F86" s="419" t="n"/>
      <c r="G86" s="444" t="n"/>
      <c r="H86" s="444" t="n"/>
      <c r="I86" s="444" t="n"/>
      <c r="J86" s="444" t="n"/>
      <c r="K86" s="444" t="n"/>
      <c r="L86" s="444" t="n"/>
      <c r="M86" s="444" t="n"/>
      <c r="N86" s="444" t="n"/>
      <c r="O86" s="444" t="n"/>
      <c r="P86" s="444" t="n"/>
      <c r="Q86" s="444" t="n"/>
      <c r="R86" s="444" t="n"/>
      <c r="S86" s="444" t="n"/>
    </row>
    <row r="87">
      <c r="A87" s="444" t="n"/>
      <c r="B87" s="444" t="n"/>
      <c r="C87" s="444" t="n"/>
      <c r="D87" s="444" t="n"/>
      <c r="E87" s="444" t="n"/>
      <c r="F87" s="419" t="n"/>
      <c r="G87" s="444" t="n"/>
      <c r="H87" s="444" t="n"/>
      <c r="I87" s="444" t="n"/>
      <c r="J87" s="444" t="n"/>
      <c r="K87" s="444" t="n"/>
      <c r="L87" s="444" t="n"/>
      <c r="M87" s="444" t="n"/>
      <c r="N87" s="444" t="n"/>
      <c r="O87" s="444" t="n"/>
      <c r="P87" s="444" t="n"/>
      <c r="Q87" s="444" t="n"/>
      <c r="R87" s="444" t="n"/>
      <c r="S87" s="444" t="n"/>
    </row>
    <row r="88">
      <c r="A88" s="444" t="n"/>
      <c r="B88" s="444" t="n"/>
      <c r="C88" s="444" t="n"/>
      <c r="D88" s="444" t="n"/>
      <c r="E88" s="444" t="n"/>
      <c r="F88" s="419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</row>
    <row r="89">
      <c r="A89" s="444" t="n"/>
      <c r="B89" s="444" t="n"/>
      <c r="C89" s="444" t="n"/>
      <c r="D89" s="444" t="n"/>
      <c r="E89" s="444" t="n"/>
      <c r="F89" s="419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4" t="n"/>
      <c r="S89" s="444" t="n"/>
    </row>
    <row r="90">
      <c r="A90" s="444" t="n"/>
      <c r="B90" s="444" t="n"/>
      <c r="C90" s="444" t="n"/>
      <c r="D90" s="444" t="n"/>
      <c r="E90" s="444" t="n"/>
      <c r="F90" s="419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</row>
    <row r="91">
      <c r="A91" s="444" t="n"/>
      <c r="B91" s="444" t="n"/>
      <c r="C91" s="444" t="n"/>
      <c r="D91" s="444" t="n"/>
      <c r="E91" s="444" t="n"/>
      <c r="F91" s="419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</row>
    <row r="92">
      <c r="A92" s="444" t="n"/>
      <c r="B92" s="444" t="n"/>
      <c r="C92" s="444" t="n"/>
      <c r="D92" s="444" t="n"/>
      <c r="E92" s="444" t="n"/>
      <c r="F92" s="419" t="n"/>
      <c r="G92" s="444" t="n"/>
      <c r="H92" s="444" t="n"/>
      <c r="I92" s="444" t="n"/>
      <c r="J92" s="444" t="n"/>
      <c r="K92" s="444" t="n"/>
      <c r="L92" s="444" t="n"/>
      <c r="M92" s="444" t="n"/>
      <c r="N92" s="444" t="n"/>
      <c r="O92" s="444" t="n"/>
      <c r="P92" s="444" t="n"/>
      <c r="Q92" s="444" t="n"/>
      <c r="R92" s="444" t="n"/>
      <c r="S92" s="444" t="n"/>
    </row>
    <row r="93">
      <c r="A93" s="444" t="n"/>
      <c r="B93" s="444" t="n"/>
      <c r="C93" s="444" t="n"/>
      <c r="D93" s="444" t="n"/>
      <c r="E93" s="444" t="n"/>
      <c r="F93" s="419" t="n"/>
      <c r="G93" s="444" t="n"/>
      <c r="H93" s="444" t="n"/>
      <c r="I93" s="444" t="n"/>
      <c r="J93" s="444" t="n"/>
      <c r="K93" s="444" t="n"/>
      <c r="L93" s="444" t="n"/>
      <c r="M93" s="444" t="n"/>
      <c r="N93" s="444" t="n"/>
      <c r="O93" s="444" t="n"/>
      <c r="P93" s="444" t="n"/>
      <c r="Q93" s="444" t="n"/>
      <c r="R93" s="444" t="n"/>
      <c r="S93" s="444" t="n"/>
    </row>
    <row r="94">
      <c r="A94" s="444" t="n"/>
      <c r="B94" s="444" t="n"/>
      <c r="C94" s="444" t="n"/>
      <c r="D94" s="444" t="n"/>
      <c r="E94" s="444" t="n"/>
      <c r="F94" s="419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</row>
    <row r="95">
      <c r="A95" s="444" t="n"/>
      <c r="B95" s="444" t="n"/>
      <c r="C95" s="444" t="n"/>
      <c r="D95" s="444" t="n"/>
      <c r="E95" s="444" t="n"/>
      <c r="F95" s="419" t="n"/>
      <c r="G95" s="444" t="n"/>
      <c r="H95" s="444" t="n"/>
      <c r="I95" s="444" t="n"/>
      <c r="J95" s="444" t="n"/>
      <c r="K95" s="444" t="n"/>
      <c r="L95" s="444" t="n"/>
      <c r="M95" s="444" t="n"/>
      <c r="N95" s="444" t="n"/>
      <c r="O95" s="444" t="n"/>
      <c r="P95" s="444" t="n"/>
      <c r="Q95" s="444" t="n"/>
      <c r="R95" s="444" t="n"/>
      <c r="S95" s="444" t="n"/>
    </row>
    <row r="96">
      <c r="A96" s="444" t="n"/>
      <c r="B96" s="444" t="n"/>
      <c r="C96" s="444" t="n"/>
      <c r="D96" s="444" t="n"/>
      <c r="E96" s="444" t="n"/>
      <c r="F96" s="419" t="n"/>
      <c r="G96" s="444" t="n"/>
      <c r="H96" s="444" t="n"/>
      <c r="I96" s="444" t="n"/>
      <c r="J96" s="444" t="n"/>
      <c r="K96" s="444" t="n"/>
      <c r="L96" s="444" t="n"/>
      <c r="M96" s="444" t="n"/>
      <c r="N96" s="444" t="n"/>
      <c r="O96" s="444" t="n"/>
      <c r="P96" s="444" t="n"/>
      <c r="Q96" s="444" t="n"/>
      <c r="R96" s="444" t="n"/>
      <c r="S96" s="444" t="n"/>
    </row>
    <row r="97">
      <c r="A97" s="444" t="n"/>
      <c r="B97" s="444" t="n"/>
      <c r="C97" s="444" t="n"/>
      <c r="D97" s="444" t="n"/>
      <c r="E97" s="444" t="n"/>
      <c r="F97" s="419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</row>
    <row r="98">
      <c r="A98" s="444" t="n"/>
      <c r="B98" s="444" t="n"/>
      <c r="C98" s="444" t="n"/>
      <c r="D98" s="444" t="n"/>
      <c r="E98" s="444" t="n"/>
      <c r="F98" s="419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</row>
    <row r="99">
      <c r="A99" s="444" t="n"/>
      <c r="B99" s="444" t="n"/>
      <c r="C99" s="444" t="n"/>
      <c r="D99" s="444" t="n"/>
      <c r="E99" s="444" t="n"/>
      <c r="F99" s="419" t="n"/>
      <c r="G99" s="444" t="n"/>
      <c r="H99" s="444" t="n"/>
      <c r="I99" s="444" t="n"/>
      <c r="J99" s="444" t="n"/>
      <c r="K99" s="444" t="n"/>
      <c r="L99" s="444" t="n"/>
      <c r="M99" s="444" t="n"/>
      <c r="N99" s="444" t="n"/>
      <c r="O99" s="444" t="n"/>
      <c r="P99" s="444" t="n"/>
      <c r="Q99" s="444" t="n"/>
      <c r="R99" s="444" t="n"/>
      <c r="S99" s="444" t="n"/>
    </row>
    <row r="100">
      <c r="A100" s="444" t="n"/>
      <c r="B100" s="444" t="n"/>
      <c r="C100" s="444" t="n"/>
      <c r="D100" s="444" t="n"/>
      <c r="E100" s="444" t="n"/>
      <c r="F100" s="419" t="n"/>
      <c r="G100" s="444" t="n"/>
      <c r="H100" s="444" t="n"/>
      <c r="I100" s="444" t="n"/>
      <c r="J100" s="444" t="n"/>
      <c r="K100" s="444" t="n"/>
      <c r="L100" s="444" t="n"/>
      <c r="M100" s="444" t="n"/>
      <c r="N100" s="444" t="n"/>
      <c r="O100" s="444" t="n"/>
      <c r="P100" s="444" t="n"/>
      <c r="Q100" s="444" t="n"/>
      <c r="R100" s="444" t="n"/>
      <c r="S100" s="444" t="n"/>
    </row>
    <row r="101">
      <c r="A101" s="444" t="n"/>
      <c r="B101" s="444" t="n"/>
      <c r="C101" s="444" t="n"/>
      <c r="D101" s="444" t="n"/>
      <c r="E101" s="444" t="n"/>
      <c r="F101" s="419" t="n"/>
      <c r="G101" s="444" t="n"/>
      <c r="H101" s="444" t="n"/>
      <c r="I101" s="444" t="n"/>
      <c r="J101" s="444" t="n"/>
      <c r="K101" s="444" t="n"/>
      <c r="L101" s="444" t="n"/>
      <c r="M101" s="444" t="n"/>
      <c r="N101" s="444" t="n"/>
      <c r="O101" s="444" t="n"/>
      <c r="P101" s="444" t="n"/>
      <c r="Q101" s="444" t="n"/>
      <c r="R101" s="444" t="n"/>
      <c r="S101" s="444" t="n"/>
    </row>
    <row r="102">
      <c r="A102" s="444" t="n"/>
      <c r="B102" s="444" t="n"/>
      <c r="C102" s="444" t="n"/>
      <c r="D102" s="444" t="n"/>
      <c r="E102" s="444" t="n"/>
      <c r="F102" s="419" t="n"/>
      <c r="G102" s="444" t="n"/>
      <c r="H102" s="444" t="n"/>
      <c r="I102" s="444" t="n"/>
      <c r="J102" s="444" t="n"/>
      <c r="K102" s="444" t="n"/>
      <c r="L102" s="444" t="n"/>
      <c r="M102" s="444" t="n"/>
      <c r="N102" s="444" t="n"/>
      <c r="O102" s="444" t="n"/>
      <c r="P102" s="444" t="n"/>
      <c r="Q102" s="444" t="n"/>
      <c r="R102" s="444" t="n"/>
      <c r="S102" s="444" t="n"/>
    </row>
    <row r="103">
      <c r="A103" s="444" t="n"/>
      <c r="B103" s="444" t="n"/>
      <c r="C103" s="444" t="n"/>
      <c r="D103" s="444" t="n"/>
      <c r="E103" s="444" t="n"/>
      <c r="F103" s="419" t="n"/>
      <c r="G103" s="444" t="n"/>
      <c r="H103" s="444" t="n"/>
      <c r="I103" s="444" t="n"/>
      <c r="J103" s="444" t="n"/>
      <c r="K103" s="444" t="n"/>
      <c r="L103" s="444" t="n"/>
      <c r="M103" s="444" t="n"/>
      <c r="N103" s="444" t="n"/>
      <c r="O103" s="444" t="n"/>
      <c r="P103" s="444" t="n"/>
      <c r="Q103" s="444" t="n"/>
      <c r="R103" s="444" t="n"/>
      <c r="S103" s="444" t="n"/>
    </row>
    <row r="104">
      <c r="A104" s="444" t="n"/>
      <c r="B104" s="444" t="n"/>
      <c r="C104" s="444" t="n"/>
      <c r="D104" s="444" t="n"/>
      <c r="E104" s="444" t="n"/>
      <c r="F104" s="419" t="n"/>
      <c r="G104" s="444" t="n"/>
      <c r="H104" s="444" t="n"/>
      <c r="I104" s="444" t="n"/>
      <c r="J104" s="444" t="n"/>
      <c r="K104" s="444" t="n"/>
      <c r="L104" s="444" t="n"/>
      <c r="M104" s="444" t="n"/>
      <c r="N104" s="444" t="n"/>
      <c r="O104" s="444" t="n"/>
      <c r="P104" s="444" t="n"/>
      <c r="Q104" s="444" t="n"/>
      <c r="R104" s="444" t="n"/>
      <c r="S104" s="444" t="n"/>
    </row>
    <row r="105">
      <c r="A105" s="444" t="n"/>
      <c r="B105" s="444" t="n"/>
      <c r="C105" s="444" t="n"/>
      <c r="D105" s="444" t="n"/>
      <c r="E105" s="444" t="n"/>
      <c r="F105" s="419" t="n"/>
      <c r="G105" s="444" t="n"/>
      <c r="H105" s="444" t="n"/>
      <c r="I105" s="444" t="n"/>
      <c r="J105" s="444" t="n"/>
      <c r="K105" s="444" t="n"/>
      <c r="L105" s="444" t="n"/>
      <c r="M105" s="444" t="n"/>
      <c r="N105" s="444" t="n"/>
      <c r="O105" s="444" t="n"/>
      <c r="P105" s="444" t="n"/>
      <c r="Q105" s="444" t="n"/>
      <c r="R105" s="444" t="n"/>
      <c r="S105" s="444" t="n"/>
    </row>
    <row r="106">
      <c r="A106" s="444" t="n"/>
      <c r="B106" s="444" t="n"/>
      <c r="C106" s="444" t="n"/>
      <c r="D106" s="444" t="n"/>
      <c r="E106" s="444" t="n"/>
      <c r="F106" s="419" t="n"/>
      <c r="G106" s="444" t="n"/>
      <c r="H106" s="444" t="n"/>
      <c r="I106" s="444" t="n"/>
      <c r="J106" s="444" t="n"/>
      <c r="K106" s="444" t="n"/>
      <c r="L106" s="444" t="n"/>
      <c r="M106" s="444" t="n"/>
      <c r="N106" s="444" t="n"/>
      <c r="O106" s="444" t="n"/>
      <c r="P106" s="444" t="n"/>
      <c r="Q106" s="444" t="n"/>
      <c r="R106" s="444" t="n"/>
      <c r="S106" s="444" t="n"/>
    </row>
    <row r="107">
      <c r="A107" s="444" t="n"/>
      <c r="B107" s="444" t="n"/>
      <c r="C107" s="444" t="n"/>
      <c r="D107" s="444" t="n"/>
      <c r="E107" s="444" t="n"/>
      <c r="F107" s="419" t="n"/>
      <c r="G107" s="444" t="n"/>
      <c r="H107" s="444" t="n"/>
      <c r="I107" s="444" t="n"/>
      <c r="J107" s="444" t="n"/>
      <c r="K107" s="444" t="n"/>
      <c r="L107" s="444" t="n"/>
      <c r="M107" s="444" t="n"/>
      <c r="N107" s="444" t="n"/>
      <c r="O107" s="444" t="n"/>
      <c r="P107" s="444" t="n"/>
      <c r="Q107" s="444" t="n"/>
      <c r="R107" s="444" t="n"/>
      <c r="S107" s="444" t="n"/>
    </row>
    <row r="108">
      <c r="A108" s="444" t="n"/>
      <c r="B108" s="444" t="n"/>
      <c r="C108" s="444" t="n"/>
      <c r="D108" s="444" t="n"/>
      <c r="E108" s="444" t="n"/>
      <c r="F108" s="419" t="n"/>
      <c r="G108" s="444" t="n"/>
      <c r="H108" s="444" t="n"/>
      <c r="I108" s="444" t="n"/>
      <c r="J108" s="444" t="n"/>
      <c r="K108" s="444" t="n"/>
      <c r="L108" s="444" t="n"/>
      <c r="M108" s="444" t="n"/>
      <c r="N108" s="444" t="n"/>
      <c r="O108" s="444" t="n"/>
      <c r="P108" s="444" t="n"/>
      <c r="Q108" s="444" t="n"/>
      <c r="R108" s="444" t="n"/>
      <c r="S108" s="444" t="n"/>
    </row>
    <row r="109">
      <c r="A109" s="444" t="n"/>
      <c r="B109" s="444" t="n"/>
      <c r="C109" s="444" t="n"/>
      <c r="D109" s="444" t="n"/>
      <c r="E109" s="444" t="n"/>
      <c r="F109" s="419" t="n"/>
      <c r="G109" s="444" t="n"/>
      <c r="H109" s="444" t="n"/>
      <c r="I109" s="444" t="n"/>
      <c r="J109" s="444" t="n"/>
      <c r="K109" s="444" t="n"/>
      <c r="L109" s="444" t="n"/>
      <c r="M109" s="444" t="n"/>
      <c r="N109" s="444" t="n"/>
      <c r="O109" s="444" t="n"/>
      <c r="P109" s="444" t="n"/>
      <c r="Q109" s="444" t="n"/>
      <c r="R109" s="444" t="n"/>
      <c r="S109" s="444" t="n"/>
    </row>
    <row r="110">
      <c r="A110" s="444" t="n"/>
      <c r="B110" s="444" t="n"/>
      <c r="C110" s="444" t="n"/>
      <c r="D110" s="444" t="n"/>
      <c r="E110" s="444" t="n"/>
      <c r="F110" s="419" t="n"/>
      <c r="G110" s="444" t="n"/>
      <c r="H110" s="444" t="n"/>
      <c r="I110" s="444" t="n"/>
      <c r="J110" s="444" t="n"/>
      <c r="K110" s="444" t="n"/>
      <c r="L110" s="444" t="n"/>
      <c r="M110" s="444" t="n"/>
      <c r="N110" s="444" t="n"/>
      <c r="O110" s="444" t="n"/>
      <c r="P110" s="444" t="n"/>
      <c r="Q110" s="444" t="n"/>
      <c r="R110" s="444" t="n"/>
      <c r="S110" s="444" t="n"/>
    </row>
    <row r="111">
      <c r="A111" s="444" t="n"/>
      <c r="B111" s="444" t="n"/>
      <c r="C111" s="444" t="n"/>
      <c r="D111" s="444" t="n"/>
      <c r="E111" s="444" t="n"/>
      <c r="F111" s="419" t="n"/>
      <c r="G111" s="444" t="n"/>
      <c r="H111" s="444" t="n"/>
      <c r="I111" s="444" t="n"/>
      <c r="J111" s="444" t="n"/>
      <c r="K111" s="444" t="n"/>
      <c r="L111" s="444" t="n"/>
      <c r="M111" s="444" t="n"/>
      <c r="N111" s="444" t="n"/>
      <c r="O111" s="444" t="n"/>
      <c r="P111" s="444" t="n"/>
      <c r="Q111" s="444" t="n"/>
      <c r="R111" s="444" t="n"/>
      <c r="S111" s="444" t="n"/>
    </row>
    <row r="112">
      <c r="A112" s="444" t="n"/>
      <c r="B112" s="444" t="n"/>
      <c r="C112" s="444" t="n"/>
      <c r="D112" s="444" t="n"/>
      <c r="E112" s="444" t="n"/>
      <c r="F112" s="419" t="n"/>
      <c r="G112" s="444" t="n"/>
      <c r="H112" s="444" t="n"/>
      <c r="I112" s="444" t="n"/>
      <c r="J112" s="444" t="n"/>
      <c r="K112" s="444" t="n"/>
      <c r="L112" s="444" t="n"/>
      <c r="M112" s="444" t="n"/>
      <c r="N112" s="444" t="n"/>
      <c r="O112" s="444" t="n"/>
      <c r="P112" s="444" t="n"/>
      <c r="Q112" s="444" t="n"/>
      <c r="R112" s="444" t="n"/>
      <c r="S112" s="444" t="n"/>
    </row>
    <row r="113">
      <c r="A113" s="444" t="n"/>
      <c r="B113" s="444" t="n"/>
      <c r="C113" s="444" t="n"/>
      <c r="D113" s="444" t="n"/>
      <c r="E113" s="444" t="n"/>
      <c r="F113" s="419" t="n"/>
      <c r="G113" s="444" t="n"/>
      <c r="H113" s="444" t="n"/>
      <c r="I113" s="444" t="n"/>
      <c r="J113" s="444" t="n"/>
      <c r="K113" s="444" t="n"/>
      <c r="L113" s="444" t="n"/>
      <c r="M113" s="444" t="n"/>
      <c r="N113" s="444" t="n"/>
      <c r="O113" s="444" t="n"/>
      <c r="P113" s="444" t="n"/>
      <c r="Q113" s="444" t="n"/>
      <c r="R113" s="444" t="n"/>
      <c r="S113" s="444" t="n"/>
    </row>
    <row r="114">
      <c r="A114" s="444" t="n"/>
      <c r="B114" s="444" t="n"/>
      <c r="C114" s="444" t="n"/>
      <c r="D114" s="444" t="n"/>
      <c r="E114" s="444" t="n"/>
      <c r="F114" s="419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4" t="n"/>
      <c r="S114" s="444" t="n"/>
    </row>
    <row r="115">
      <c r="A115" s="444" t="n"/>
      <c r="B115" s="444" t="n"/>
      <c r="C115" s="444" t="n"/>
      <c r="D115" s="444" t="n"/>
      <c r="E115" s="444" t="n"/>
      <c r="F115" s="419" t="n"/>
      <c r="G115" s="444" t="n"/>
      <c r="H115" s="444" t="n"/>
      <c r="I115" s="444" t="n"/>
      <c r="J115" s="444" t="n"/>
      <c r="K115" s="444" t="n"/>
      <c r="L115" s="444" t="n"/>
      <c r="M115" s="444" t="n"/>
      <c r="N115" s="444" t="n"/>
      <c r="O115" s="444" t="n"/>
      <c r="P115" s="444" t="n"/>
      <c r="Q115" s="444" t="n"/>
      <c r="R115" s="444" t="n"/>
      <c r="S115" s="444" t="n"/>
    </row>
    <row r="116">
      <c r="A116" s="444" t="n"/>
      <c r="B116" s="444" t="n"/>
      <c r="C116" s="444" t="n"/>
      <c r="D116" s="444" t="n"/>
      <c r="E116" s="444" t="n"/>
      <c r="F116" s="419" t="n"/>
      <c r="G116" s="444" t="n"/>
      <c r="H116" s="444" t="n"/>
      <c r="I116" s="444" t="n"/>
      <c r="J116" s="444" t="n"/>
      <c r="K116" s="444" t="n"/>
      <c r="L116" s="444" t="n"/>
      <c r="M116" s="444" t="n"/>
      <c r="N116" s="444" t="n"/>
      <c r="O116" s="444" t="n"/>
      <c r="P116" s="444" t="n"/>
      <c r="Q116" s="444" t="n"/>
      <c r="R116" s="444" t="n"/>
      <c r="S116" s="444" t="n"/>
    </row>
    <row r="117">
      <c r="A117" s="444" t="n"/>
      <c r="B117" s="444" t="n"/>
      <c r="C117" s="444" t="n"/>
      <c r="D117" s="444" t="n"/>
      <c r="E117" s="444" t="n"/>
      <c r="F117" s="419" t="n"/>
      <c r="G117" s="444" t="n"/>
      <c r="H117" s="444" t="n"/>
      <c r="I117" s="444" t="n"/>
      <c r="J117" s="444" t="n"/>
      <c r="K117" s="444" t="n"/>
      <c r="L117" s="444" t="n"/>
      <c r="M117" s="444" t="n"/>
      <c r="N117" s="444" t="n"/>
      <c r="O117" s="444" t="n"/>
      <c r="P117" s="444" t="n"/>
      <c r="Q117" s="444" t="n"/>
      <c r="R117" s="444" t="n"/>
      <c r="S117" s="444" t="n"/>
    </row>
    <row r="118">
      <c r="A118" s="444" t="n"/>
      <c r="B118" s="444" t="n"/>
      <c r="C118" s="444" t="n"/>
      <c r="D118" s="444" t="n"/>
      <c r="E118" s="444" t="n"/>
      <c r="F118" s="419" t="n"/>
      <c r="G118" s="444" t="n"/>
      <c r="H118" s="444" t="n"/>
      <c r="I118" s="444" t="n"/>
      <c r="J118" s="444" t="n"/>
      <c r="K118" s="444" t="n"/>
      <c r="L118" s="444" t="n"/>
      <c r="M118" s="444" t="n"/>
      <c r="N118" s="444" t="n"/>
      <c r="O118" s="444" t="n"/>
      <c r="P118" s="444" t="n"/>
      <c r="Q118" s="444" t="n"/>
      <c r="R118" s="444" t="n"/>
      <c r="S118" s="444" t="n"/>
    </row>
    <row r="119">
      <c r="A119" s="444" t="n"/>
      <c r="B119" s="444" t="n"/>
      <c r="C119" s="444" t="n"/>
      <c r="D119" s="444" t="n"/>
      <c r="E119" s="444" t="n"/>
      <c r="F119" s="419" t="n"/>
      <c r="G119" s="444" t="n"/>
      <c r="H119" s="444" t="n"/>
      <c r="I119" s="444" t="n"/>
      <c r="J119" s="444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</row>
    <row r="120">
      <c r="A120" s="444" t="n"/>
      <c r="B120" s="444" t="n"/>
      <c r="C120" s="444" t="n"/>
      <c r="D120" s="444" t="n"/>
      <c r="E120" s="444" t="n"/>
      <c r="F120" s="419" t="n"/>
      <c r="G120" s="444" t="n"/>
      <c r="H120" s="444" t="n"/>
      <c r="I120" s="444" t="n"/>
      <c r="J120" s="444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</row>
    <row r="121">
      <c r="A121" s="444" t="n"/>
      <c r="B121" s="444" t="n"/>
      <c r="C121" s="444" t="n"/>
      <c r="D121" s="444" t="n"/>
      <c r="E121" s="444" t="n"/>
      <c r="F121" s="419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</row>
    <row r="122">
      <c r="A122" s="444" t="n"/>
      <c r="B122" s="444" t="n"/>
      <c r="C122" s="444" t="n"/>
      <c r="D122" s="444" t="n"/>
      <c r="E122" s="444" t="n"/>
      <c r="F122" s="419" t="n"/>
      <c r="G122" s="444" t="n"/>
      <c r="H122" s="444" t="n"/>
      <c r="I122" s="444" t="n"/>
      <c r="J122" s="444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</row>
    <row r="123">
      <c r="A123" s="444" t="n"/>
      <c r="B123" s="444" t="n"/>
      <c r="C123" s="444" t="n"/>
      <c r="D123" s="444" t="n"/>
      <c r="E123" s="444" t="n"/>
      <c r="F123" s="419" t="n"/>
      <c r="G123" s="444" t="n"/>
      <c r="H123" s="444" t="n"/>
      <c r="I123" s="444" t="n"/>
      <c r="J123" s="444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</row>
    <row r="124">
      <c r="A124" s="444" t="n"/>
      <c r="B124" s="444" t="n"/>
      <c r="C124" s="444" t="n"/>
      <c r="D124" s="444" t="n"/>
      <c r="E124" s="444" t="n"/>
      <c r="F124" s="419" t="n"/>
      <c r="G124" s="444" t="n"/>
      <c r="H124" s="444" t="n"/>
      <c r="I124" s="444" t="n"/>
      <c r="J124" s="444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</row>
    <row r="125">
      <c r="A125" s="444" t="n"/>
      <c r="B125" s="444" t="n"/>
      <c r="C125" s="444" t="n"/>
      <c r="D125" s="444" t="n"/>
      <c r="E125" s="444" t="n"/>
      <c r="F125" s="419" t="n"/>
      <c r="G125" s="444" t="n"/>
      <c r="H125" s="444" t="n"/>
      <c r="I125" s="444" t="n"/>
      <c r="J125" s="444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</row>
    <row r="126">
      <c r="A126" s="444" t="n"/>
      <c r="B126" s="444" t="n"/>
      <c r="C126" s="444" t="n"/>
      <c r="D126" s="444" t="n"/>
      <c r="E126" s="444" t="n"/>
      <c r="F126" s="419" t="n"/>
      <c r="G126" s="444" t="n"/>
      <c r="H126" s="444" t="n"/>
      <c r="I126" s="444" t="n"/>
      <c r="J126" s="444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</row>
    <row r="127">
      <c r="A127" s="444" t="n"/>
      <c r="B127" s="444" t="n"/>
      <c r="C127" s="444" t="n"/>
      <c r="D127" s="444" t="n"/>
      <c r="E127" s="444" t="n"/>
      <c r="F127" s="419" t="n"/>
      <c r="G127" s="444" t="n"/>
      <c r="H127" s="444" t="n"/>
      <c r="I127" s="444" t="n"/>
      <c r="J127" s="444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</row>
    <row r="128">
      <c r="A128" s="444" t="n"/>
      <c r="B128" s="444" t="n"/>
      <c r="C128" s="444" t="n"/>
      <c r="D128" s="444" t="n"/>
      <c r="E128" s="444" t="n"/>
      <c r="F128" s="419" t="n"/>
      <c r="G128" s="444" t="n"/>
      <c r="H128" s="444" t="n"/>
      <c r="I128" s="444" t="n"/>
      <c r="J128" s="444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</row>
    <row r="129">
      <c r="A129" s="444" t="n"/>
      <c r="B129" s="444" t="n"/>
      <c r="C129" s="444" t="n"/>
      <c r="D129" s="444" t="n"/>
      <c r="E129" s="444" t="n"/>
      <c r="F129" s="419" t="n"/>
      <c r="G129" s="444" t="n"/>
      <c r="H129" s="444" t="n"/>
      <c r="I129" s="444" t="n"/>
      <c r="J129" s="444" t="n"/>
      <c r="K129" s="444" t="n"/>
      <c r="L129" s="444" t="n"/>
      <c r="M129" s="444" t="n"/>
      <c r="N129" s="444" t="n"/>
      <c r="O129" s="444" t="n"/>
      <c r="P129" s="444" t="n"/>
      <c r="Q129" s="444" t="n"/>
      <c r="R129" s="444" t="n"/>
      <c r="S129" s="444" t="n"/>
    </row>
    <row r="130">
      <c r="A130" s="444" t="n"/>
      <c r="B130" s="444" t="n"/>
      <c r="C130" s="444" t="n"/>
      <c r="D130" s="444" t="n"/>
      <c r="E130" s="444" t="n"/>
      <c r="F130" s="419" t="n"/>
      <c r="G130" s="444" t="n"/>
      <c r="H130" s="444" t="n"/>
      <c r="I130" s="444" t="n"/>
      <c r="J130" s="444" t="n"/>
      <c r="K130" s="444" t="n"/>
      <c r="L130" s="444" t="n"/>
      <c r="M130" s="444" t="n"/>
      <c r="N130" s="444" t="n"/>
      <c r="O130" s="444" t="n"/>
      <c r="P130" s="444" t="n"/>
      <c r="Q130" s="444" t="n"/>
      <c r="R130" s="444" t="n"/>
      <c r="S130" s="444" t="n"/>
    </row>
    <row r="131">
      <c r="A131" s="444" t="n"/>
      <c r="B131" s="444" t="n"/>
      <c r="C131" s="444" t="n"/>
      <c r="D131" s="444" t="n"/>
      <c r="E131" s="444" t="n"/>
      <c r="F131" s="419" t="n"/>
      <c r="G131" s="444" t="n"/>
      <c r="H131" s="444" t="n"/>
      <c r="I131" s="444" t="n"/>
      <c r="J131" s="444" t="n"/>
      <c r="K131" s="444" t="n"/>
      <c r="L131" s="444" t="n"/>
      <c r="M131" s="444" t="n"/>
      <c r="N131" s="444" t="n"/>
      <c r="O131" s="444" t="n"/>
      <c r="P131" s="444" t="n"/>
      <c r="Q131" s="444" t="n"/>
      <c r="R131" s="444" t="n"/>
      <c r="S131" s="444" t="n"/>
    </row>
    <row r="132">
      <c r="A132" s="444" t="n"/>
      <c r="B132" s="444" t="n"/>
      <c r="C132" s="444" t="n"/>
      <c r="D132" s="444" t="n"/>
      <c r="E132" s="444" t="n"/>
      <c r="F132" s="419" t="n"/>
      <c r="G132" s="444" t="n"/>
      <c r="H132" s="444" t="n"/>
      <c r="I132" s="444" t="n"/>
      <c r="J132" s="444" t="n"/>
      <c r="K132" s="444" t="n"/>
      <c r="L132" s="444" t="n"/>
      <c r="M132" s="444" t="n"/>
      <c r="N132" s="444" t="n"/>
      <c r="O132" s="444" t="n"/>
      <c r="P132" s="444" t="n"/>
      <c r="Q132" s="444" t="n"/>
      <c r="R132" s="444" t="n"/>
      <c r="S132" s="444" t="n"/>
    </row>
    <row r="133">
      <c r="A133" s="444" t="n"/>
      <c r="B133" s="444" t="n"/>
      <c r="C133" s="444" t="n"/>
      <c r="D133" s="444" t="n"/>
      <c r="E133" s="444" t="n"/>
      <c r="F133" s="419" t="n"/>
      <c r="G133" s="444" t="n"/>
      <c r="H133" s="444" t="n"/>
      <c r="I133" s="444" t="n"/>
      <c r="J133" s="444" t="n"/>
      <c r="K133" s="444" t="n"/>
      <c r="L133" s="444" t="n"/>
      <c r="M133" s="444" t="n"/>
      <c r="N133" s="444" t="n"/>
      <c r="O133" s="444" t="n"/>
      <c r="P133" s="444" t="n"/>
      <c r="Q133" s="444" t="n"/>
      <c r="R133" s="444" t="n"/>
      <c r="S133" s="444" t="n"/>
    </row>
    <row r="134">
      <c r="A134" s="444" t="n"/>
      <c r="B134" s="444" t="n"/>
      <c r="C134" s="444" t="n"/>
      <c r="D134" s="444" t="n"/>
      <c r="E134" s="444" t="n"/>
      <c r="F134" s="419" t="n"/>
      <c r="G134" s="444" t="n"/>
      <c r="H134" s="444" t="n"/>
      <c r="I134" s="444" t="n"/>
      <c r="J134" s="444" t="n"/>
      <c r="K134" s="444" t="n"/>
      <c r="L134" s="444" t="n"/>
      <c r="M134" s="444" t="n"/>
      <c r="N134" s="444" t="n"/>
      <c r="O134" s="444" t="n"/>
      <c r="P134" s="444" t="n"/>
      <c r="Q134" s="444" t="n"/>
      <c r="R134" s="444" t="n"/>
      <c r="S134" s="444" t="n"/>
    </row>
    <row r="135">
      <c r="A135" s="444" t="n"/>
      <c r="B135" s="444" t="n"/>
      <c r="C135" s="444" t="n"/>
      <c r="D135" s="444" t="n"/>
      <c r="E135" s="444" t="n"/>
      <c r="F135" s="419" t="n"/>
      <c r="G135" s="444" t="n"/>
      <c r="H135" s="444" t="n"/>
      <c r="I135" s="444" t="n"/>
      <c r="J135" s="444" t="n"/>
      <c r="K135" s="444" t="n"/>
      <c r="L135" s="444" t="n"/>
      <c r="M135" s="444" t="n"/>
      <c r="N135" s="444" t="n"/>
      <c r="O135" s="444" t="n"/>
      <c r="P135" s="444" t="n"/>
      <c r="Q135" s="444" t="n"/>
      <c r="R135" s="444" t="n"/>
      <c r="S135" s="444" t="n"/>
    </row>
    <row r="136">
      <c r="A136" s="444" t="n"/>
      <c r="B136" s="444" t="n"/>
      <c r="C136" s="444" t="n"/>
      <c r="D136" s="444" t="n"/>
      <c r="E136" s="444" t="n"/>
      <c r="F136" s="419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4" t="n"/>
      <c r="S136" s="444" t="n"/>
    </row>
    <row r="137">
      <c r="A137" s="444" t="n"/>
      <c r="B137" s="444" t="n"/>
      <c r="C137" s="444" t="n"/>
      <c r="D137" s="444" t="n"/>
      <c r="E137" s="444" t="n"/>
      <c r="F137" s="419" t="n"/>
      <c r="G137" s="444" t="n"/>
      <c r="H137" s="444" t="n"/>
      <c r="I137" s="444" t="n"/>
      <c r="J137" s="444" t="n"/>
      <c r="K137" s="444" t="n"/>
      <c r="L137" s="444" t="n"/>
      <c r="M137" s="444" t="n"/>
      <c r="N137" s="444" t="n"/>
      <c r="O137" s="444" t="n"/>
      <c r="P137" s="444" t="n"/>
      <c r="Q137" s="444" t="n"/>
      <c r="R137" s="444" t="n"/>
      <c r="S137" s="444" t="n"/>
    </row>
    <row r="138">
      <c r="A138" s="444" t="n"/>
      <c r="B138" s="444" t="n"/>
      <c r="C138" s="444" t="n"/>
      <c r="D138" s="444" t="n"/>
      <c r="E138" s="444" t="n"/>
      <c r="F138" s="419" t="n"/>
      <c r="G138" s="444" t="n"/>
      <c r="H138" s="444" t="n"/>
      <c r="I138" s="444" t="n"/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4" t="n"/>
      <c r="S138" s="444" t="n"/>
    </row>
    <row r="139">
      <c r="A139" s="444" t="n"/>
      <c r="B139" s="444" t="n"/>
      <c r="C139" s="444" t="n"/>
      <c r="D139" s="444" t="n"/>
      <c r="E139" s="444" t="n"/>
      <c r="F139" s="419" t="n"/>
      <c r="G139" s="444" t="n"/>
      <c r="H139" s="444" t="n"/>
      <c r="I139" s="444" t="n"/>
      <c r="J139" s="444" t="n"/>
      <c r="K139" s="444" t="n"/>
      <c r="L139" s="444" t="n"/>
      <c r="M139" s="444" t="n"/>
      <c r="N139" s="444" t="n"/>
      <c r="O139" s="444" t="n"/>
      <c r="P139" s="444" t="n"/>
      <c r="Q139" s="444" t="n"/>
      <c r="R139" s="444" t="n"/>
      <c r="S139" s="444" t="n"/>
    </row>
    <row r="140">
      <c r="A140" s="444" t="n"/>
      <c r="B140" s="444" t="n"/>
      <c r="C140" s="444" t="n"/>
      <c r="D140" s="444" t="n"/>
      <c r="E140" s="444" t="n"/>
      <c r="F140" s="419" t="n"/>
      <c r="G140" s="444" t="n"/>
      <c r="H140" s="444" t="n"/>
      <c r="I140" s="444" t="n"/>
      <c r="J140" s="444" t="n"/>
      <c r="K140" s="444" t="n"/>
      <c r="L140" s="444" t="n"/>
      <c r="M140" s="444" t="n"/>
      <c r="N140" s="444" t="n"/>
      <c r="O140" s="444" t="n"/>
      <c r="P140" s="444" t="n"/>
      <c r="Q140" s="444" t="n"/>
      <c r="R140" s="444" t="n"/>
      <c r="S140" s="444" t="n"/>
    </row>
    <row r="141">
      <c r="A141" s="444" t="n"/>
      <c r="B141" s="444" t="n"/>
      <c r="C141" s="444" t="n"/>
      <c r="D141" s="444" t="n"/>
      <c r="E141" s="444" t="n"/>
      <c r="F141" s="419" t="n"/>
      <c r="G141" s="444" t="n"/>
      <c r="H141" s="444" t="n"/>
      <c r="I141" s="444" t="n"/>
      <c r="J141" s="444" t="n"/>
      <c r="K141" s="444" t="n"/>
      <c r="L141" s="444" t="n"/>
      <c r="M141" s="444" t="n"/>
      <c r="N141" s="444" t="n"/>
      <c r="O141" s="444" t="n"/>
      <c r="P141" s="444" t="n"/>
      <c r="Q141" s="444" t="n"/>
      <c r="R141" s="444" t="n"/>
      <c r="S141" s="444" t="n"/>
    </row>
    <row r="142">
      <c r="A142" s="444" t="n"/>
      <c r="B142" s="444" t="n"/>
      <c r="C142" s="444" t="n"/>
      <c r="D142" s="444" t="n"/>
      <c r="E142" s="444" t="n"/>
      <c r="F142" s="419" t="n"/>
      <c r="G142" s="444" t="n"/>
      <c r="H142" s="444" t="n"/>
      <c r="I142" s="444" t="n"/>
      <c r="J142" s="444" t="n"/>
      <c r="K142" s="444" t="n"/>
      <c r="L142" s="444" t="n"/>
      <c r="M142" s="444" t="n"/>
      <c r="N142" s="444" t="n"/>
      <c r="O142" s="444" t="n"/>
      <c r="P142" s="444" t="n"/>
      <c r="Q142" s="444" t="n"/>
      <c r="R142" s="444" t="n"/>
      <c r="S142" s="444" t="n"/>
    </row>
    <row r="143">
      <c r="A143" s="444" t="n"/>
      <c r="B143" s="444" t="n"/>
      <c r="C143" s="444" t="n"/>
      <c r="D143" s="444" t="n"/>
      <c r="E143" s="444" t="n"/>
      <c r="F143" s="419" t="n"/>
      <c r="G143" s="444" t="n"/>
      <c r="H143" s="444" t="n"/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4" t="n"/>
      <c r="S143" s="444" t="n"/>
    </row>
    <row r="144">
      <c r="A144" s="444" t="n"/>
      <c r="B144" s="444" t="n"/>
      <c r="C144" s="444" t="n"/>
      <c r="D144" s="444" t="n"/>
      <c r="E144" s="444" t="n"/>
      <c r="F144" s="419" t="n"/>
      <c r="G144" s="444" t="n"/>
      <c r="H144" s="444" t="n"/>
      <c r="I144" s="444" t="n"/>
      <c r="J144" s="444" t="n"/>
      <c r="K144" s="444" t="n"/>
      <c r="L144" s="444" t="n"/>
      <c r="M144" s="444" t="n"/>
      <c r="N144" s="444" t="n"/>
      <c r="O144" s="444" t="n"/>
      <c r="P144" s="444" t="n"/>
      <c r="Q144" s="444" t="n"/>
      <c r="R144" s="444" t="n"/>
      <c r="S144" s="444" t="n"/>
    </row>
    <row r="145">
      <c r="A145" s="444" t="n"/>
      <c r="B145" s="444" t="n"/>
      <c r="C145" s="444" t="n"/>
      <c r="D145" s="444" t="n"/>
      <c r="E145" s="444" t="n"/>
      <c r="F145" s="419" t="n"/>
      <c r="G145" s="444" t="n"/>
      <c r="H145" s="444" t="n"/>
      <c r="I145" s="444" t="n"/>
      <c r="J145" s="444" t="n"/>
      <c r="K145" s="444" t="n"/>
      <c r="L145" s="444" t="n"/>
      <c r="M145" s="444" t="n"/>
      <c r="N145" s="444" t="n"/>
      <c r="O145" s="444" t="n"/>
      <c r="P145" s="444" t="n"/>
      <c r="Q145" s="444" t="n"/>
      <c r="R145" s="444" t="n"/>
      <c r="S145" s="444" t="n"/>
    </row>
    <row r="146">
      <c r="A146" s="444" t="n"/>
      <c r="B146" s="444" t="n"/>
      <c r="C146" s="444" t="n"/>
      <c r="D146" s="444" t="n"/>
      <c r="E146" s="444" t="n"/>
      <c r="F146" s="419" t="n"/>
      <c r="G146" s="444" t="n"/>
      <c r="H146" s="444" t="n"/>
      <c r="I146" s="444" t="n"/>
      <c r="J146" s="444" t="n"/>
      <c r="K146" s="444" t="n"/>
      <c r="L146" s="444" t="n"/>
      <c r="M146" s="444" t="n"/>
      <c r="N146" s="444" t="n"/>
      <c r="O146" s="444" t="n"/>
      <c r="P146" s="444" t="n"/>
      <c r="Q146" s="444" t="n"/>
      <c r="R146" s="444" t="n"/>
      <c r="S146" s="444" t="n"/>
    </row>
    <row r="147">
      <c r="A147" s="444" t="n"/>
      <c r="B147" s="444" t="n"/>
      <c r="C147" s="444" t="n"/>
      <c r="D147" s="444" t="n"/>
      <c r="E147" s="444" t="n"/>
      <c r="F147" s="419" t="n"/>
      <c r="G147" s="444" t="n"/>
      <c r="H147" s="444" t="n"/>
      <c r="I147" s="444" t="n"/>
      <c r="J147" s="444" t="n"/>
      <c r="K147" s="444" t="n"/>
      <c r="L147" s="444" t="n"/>
      <c r="M147" s="444" t="n"/>
      <c r="N147" s="444" t="n"/>
      <c r="O147" s="444" t="n"/>
      <c r="P147" s="444" t="n"/>
      <c r="Q147" s="444" t="n"/>
      <c r="R147" s="444" t="n"/>
      <c r="S147" s="444" t="n"/>
    </row>
    <row r="148">
      <c r="A148" s="444" t="n"/>
      <c r="B148" s="444" t="n"/>
      <c r="C148" s="444" t="n"/>
      <c r="D148" s="444" t="n"/>
      <c r="E148" s="444" t="n"/>
      <c r="F148" s="419" t="n"/>
      <c r="G148" s="444" t="n"/>
      <c r="H148" s="444" t="n"/>
      <c r="I148" s="444" t="n"/>
      <c r="J148" s="444" t="n"/>
      <c r="K148" s="444" t="n"/>
      <c r="L148" s="444" t="n"/>
      <c r="M148" s="444" t="n"/>
      <c r="N148" s="444" t="n"/>
      <c r="O148" s="444" t="n"/>
      <c r="P148" s="444" t="n"/>
      <c r="Q148" s="444" t="n"/>
      <c r="R148" s="444" t="n"/>
      <c r="S148" s="444" t="n"/>
    </row>
    <row r="149">
      <c r="A149" s="444" t="n"/>
      <c r="B149" s="444" t="n"/>
      <c r="C149" s="444" t="n"/>
      <c r="D149" s="444" t="n"/>
      <c r="E149" s="444" t="n"/>
      <c r="F149" s="419" t="n"/>
      <c r="G149" s="444" t="n"/>
      <c r="H149" s="444" t="n"/>
      <c r="I149" s="444" t="n"/>
      <c r="J149" s="444" t="n"/>
      <c r="K149" s="444" t="n"/>
      <c r="L149" s="444" t="n"/>
      <c r="M149" s="444" t="n"/>
      <c r="N149" s="444" t="n"/>
      <c r="O149" s="444" t="n"/>
      <c r="P149" s="444" t="n"/>
      <c r="Q149" s="444" t="n"/>
      <c r="R149" s="444" t="n"/>
      <c r="S149" s="444" t="n"/>
    </row>
    <row r="150">
      <c r="A150" s="444" t="n"/>
      <c r="B150" s="444" t="n"/>
      <c r="C150" s="444" t="n"/>
      <c r="D150" s="444" t="n"/>
      <c r="E150" s="444" t="n"/>
      <c r="F150" s="419" t="n"/>
      <c r="G150" s="444" t="n"/>
      <c r="H150" s="444" t="n"/>
      <c r="I150" s="444" t="n"/>
      <c r="J150" s="444" t="n"/>
      <c r="K150" s="444" t="n"/>
      <c r="L150" s="444" t="n"/>
      <c r="M150" s="444" t="n"/>
      <c r="N150" s="444" t="n"/>
      <c r="O150" s="444" t="n"/>
      <c r="P150" s="444" t="n"/>
      <c r="Q150" s="444" t="n"/>
      <c r="R150" s="444" t="n"/>
      <c r="S150" s="444" t="n"/>
    </row>
    <row r="151">
      <c r="A151" s="444" t="n"/>
      <c r="B151" s="444" t="n"/>
      <c r="C151" s="444" t="n"/>
      <c r="D151" s="444" t="n"/>
      <c r="E151" s="444" t="n"/>
      <c r="F151" s="419" t="n"/>
      <c r="G151" s="444" t="n"/>
      <c r="H151" s="444" t="n"/>
      <c r="I151" s="444" t="n"/>
      <c r="J151" s="444" t="n"/>
      <c r="K151" s="444" t="n"/>
      <c r="L151" s="444" t="n"/>
      <c r="M151" s="444" t="n"/>
      <c r="N151" s="444" t="n"/>
      <c r="O151" s="444" t="n"/>
      <c r="P151" s="444" t="n"/>
      <c r="Q151" s="444" t="n"/>
      <c r="R151" s="444" t="n"/>
      <c r="S151" s="444" t="n"/>
    </row>
    <row r="152">
      <c r="A152" s="444" t="n"/>
      <c r="B152" s="444" t="n"/>
      <c r="C152" s="444" t="n"/>
      <c r="D152" s="444" t="n"/>
      <c r="E152" s="444" t="n"/>
      <c r="F152" s="419" t="n"/>
      <c r="G152" s="444" t="n"/>
      <c r="H152" s="444" t="n"/>
      <c r="I152" s="444" t="n"/>
      <c r="J152" s="444" t="n"/>
      <c r="K152" s="444" t="n"/>
      <c r="L152" s="444" t="n"/>
      <c r="M152" s="444" t="n"/>
      <c r="N152" s="444" t="n"/>
      <c r="O152" s="444" t="n"/>
      <c r="P152" s="444" t="n"/>
      <c r="Q152" s="444" t="n"/>
      <c r="R152" s="444" t="n"/>
      <c r="S152" s="444" t="n"/>
    </row>
    <row r="153">
      <c r="A153" s="444" t="n"/>
      <c r="B153" s="444" t="n"/>
      <c r="C153" s="444" t="n"/>
      <c r="D153" s="444" t="n"/>
      <c r="E153" s="444" t="n"/>
      <c r="F153" s="419" t="n"/>
      <c r="G153" s="444" t="n"/>
      <c r="H153" s="444" t="n"/>
      <c r="I153" s="444" t="n"/>
      <c r="J153" s="444" t="n"/>
      <c r="K153" s="444" t="n"/>
      <c r="L153" s="444" t="n"/>
      <c r="M153" s="444" t="n"/>
      <c r="N153" s="444" t="n"/>
      <c r="O153" s="444" t="n"/>
      <c r="P153" s="444" t="n"/>
      <c r="Q153" s="444" t="n"/>
      <c r="R153" s="444" t="n"/>
      <c r="S153" s="444" t="n"/>
    </row>
    <row r="154">
      <c r="A154" s="444" t="n"/>
      <c r="B154" s="444" t="n"/>
      <c r="C154" s="444" t="n"/>
      <c r="D154" s="444" t="n"/>
      <c r="E154" s="444" t="n"/>
      <c r="F154" s="419" t="n"/>
      <c r="G154" s="444" t="n"/>
      <c r="H154" s="444" t="n"/>
      <c r="I154" s="444" t="n"/>
      <c r="J154" s="444" t="n"/>
      <c r="K154" s="444" t="n"/>
      <c r="L154" s="444" t="n"/>
      <c r="M154" s="444" t="n"/>
      <c r="N154" s="444" t="n"/>
      <c r="O154" s="444" t="n"/>
      <c r="P154" s="444" t="n"/>
      <c r="Q154" s="444" t="n"/>
      <c r="R154" s="444" t="n"/>
      <c r="S154" s="444" t="n"/>
    </row>
    <row r="155">
      <c r="A155" s="444" t="n"/>
      <c r="B155" s="444" t="n"/>
      <c r="C155" s="444" t="n"/>
      <c r="D155" s="444" t="n"/>
      <c r="E155" s="444" t="n"/>
      <c r="F155" s="419" t="n"/>
      <c r="G155" s="444" t="n"/>
      <c r="H155" s="444" t="n"/>
      <c r="I155" s="444" t="n"/>
      <c r="J155" s="444" t="n"/>
      <c r="K155" s="444" t="n"/>
      <c r="L155" s="444" t="n"/>
      <c r="M155" s="444" t="n"/>
      <c r="N155" s="444" t="n"/>
      <c r="O155" s="444" t="n"/>
      <c r="P155" s="444" t="n"/>
      <c r="Q155" s="444" t="n"/>
      <c r="R155" s="444" t="n"/>
      <c r="S155" s="444" t="n"/>
    </row>
    <row r="156">
      <c r="A156" s="444" t="n"/>
      <c r="B156" s="444" t="n"/>
      <c r="C156" s="444" t="n"/>
      <c r="D156" s="444" t="n"/>
      <c r="E156" s="444" t="n"/>
      <c r="F156" s="419" t="n"/>
      <c r="G156" s="444" t="n"/>
      <c r="H156" s="444" t="n"/>
      <c r="I156" s="444" t="n"/>
      <c r="J156" s="444" t="n"/>
      <c r="K156" s="444" t="n"/>
      <c r="L156" s="444" t="n"/>
      <c r="M156" s="444" t="n"/>
      <c r="N156" s="444" t="n"/>
      <c r="O156" s="444" t="n"/>
      <c r="P156" s="444" t="n"/>
      <c r="Q156" s="444" t="n"/>
      <c r="R156" s="444" t="n"/>
      <c r="S156" s="444" t="n"/>
    </row>
    <row r="157">
      <c r="A157" s="444" t="n"/>
      <c r="B157" s="444" t="n"/>
      <c r="C157" s="444" t="n"/>
      <c r="D157" s="444" t="n"/>
      <c r="E157" s="444" t="n"/>
      <c r="F157" s="419" t="n"/>
      <c r="G157" s="444" t="n"/>
      <c r="H157" s="444" t="n"/>
      <c r="I157" s="444" t="n"/>
      <c r="J157" s="444" t="n"/>
      <c r="K157" s="444" t="n"/>
      <c r="L157" s="444" t="n"/>
      <c r="M157" s="444" t="n"/>
      <c r="N157" s="444" t="n"/>
      <c r="O157" s="444" t="n"/>
      <c r="P157" s="444" t="n"/>
      <c r="Q157" s="444" t="n"/>
      <c r="R157" s="444" t="n"/>
      <c r="S157" s="444" t="n"/>
    </row>
    <row r="158">
      <c r="A158" s="444" t="n"/>
      <c r="B158" s="444" t="n"/>
      <c r="C158" s="444" t="n"/>
      <c r="D158" s="444" t="n"/>
      <c r="E158" s="444" t="n"/>
      <c r="F158" s="419" t="n"/>
      <c r="G158" s="444" t="n"/>
      <c r="H158" s="444" t="n"/>
      <c r="I158" s="444" t="n"/>
      <c r="J158" s="444" t="n"/>
      <c r="K158" s="444" t="n"/>
      <c r="L158" s="444" t="n"/>
      <c r="M158" s="444" t="n"/>
      <c r="N158" s="444" t="n"/>
      <c r="O158" s="444" t="n"/>
      <c r="P158" s="444" t="n"/>
      <c r="Q158" s="444" t="n"/>
      <c r="R158" s="444" t="n"/>
      <c r="S158" s="444" t="n"/>
    </row>
    <row r="159">
      <c r="A159" s="444" t="n"/>
      <c r="B159" s="444" t="n"/>
      <c r="C159" s="444" t="n"/>
      <c r="D159" s="444" t="n"/>
      <c r="E159" s="444" t="n"/>
      <c r="F159" s="419" t="n"/>
      <c r="G159" s="444" t="n"/>
      <c r="H159" s="444" t="n"/>
      <c r="I159" s="444" t="n"/>
      <c r="J159" s="444" t="n"/>
      <c r="K159" s="444" t="n"/>
      <c r="L159" s="444" t="n"/>
      <c r="M159" s="444" t="n"/>
      <c r="N159" s="444" t="n"/>
      <c r="O159" s="444" t="n"/>
      <c r="P159" s="444" t="n"/>
      <c r="Q159" s="444" t="n"/>
      <c r="R159" s="444" t="n"/>
      <c r="S159" s="444" t="n"/>
    </row>
    <row r="160">
      <c r="A160" s="444" t="n"/>
      <c r="B160" s="444" t="n"/>
      <c r="C160" s="444" t="n"/>
      <c r="D160" s="444" t="n"/>
      <c r="E160" s="444" t="n"/>
      <c r="F160" s="419" t="n"/>
      <c r="G160" s="444" t="n"/>
      <c r="H160" s="444" t="n"/>
      <c r="I160" s="444" t="n"/>
      <c r="J160" s="444" t="n"/>
      <c r="K160" s="444" t="n"/>
      <c r="L160" s="444" t="n"/>
      <c r="M160" s="444" t="n"/>
      <c r="N160" s="444" t="n"/>
      <c r="O160" s="444" t="n"/>
      <c r="P160" s="444" t="n"/>
      <c r="Q160" s="444" t="n"/>
      <c r="R160" s="444" t="n"/>
      <c r="S160" s="444" t="n"/>
    </row>
    <row r="161">
      <c r="A161" s="444" t="n"/>
      <c r="B161" s="444" t="n"/>
      <c r="C161" s="444" t="n"/>
      <c r="D161" s="444" t="n"/>
      <c r="E161" s="444" t="n"/>
      <c r="F161" s="419" t="n"/>
      <c r="G161" s="444" t="n"/>
      <c r="H161" s="444" t="n"/>
      <c r="I161" s="444" t="n"/>
      <c r="J161" s="444" t="n"/>
      <c r="K161" s="444" t="n"/>
      <c r="L161" s="444" t="n"/>
      <c r="M161" s="444" t="n"/>
      <c r="N161" s="444" t="n"/>
      <c r="O161" s="444" t="n"/>
      <c r="P161" s="444" t="n"/>
      <c r="Q161" s="444" t="n"/>
      <c r="R161" s="444" t="n"/>
      <c r="S161" s="444" t="n"/>
    </row>
    <row r="162">
      <c r="A162" s="444" t="n"/>
      <c r="B162" s="444" t="n"/>
      <c r="C162" s="444" t="n"/>
      <c r="D162" s="444" t="n"/>
      <c r="E162" s="444" t="n"/>
      <c r="F162" s="419" t="n"/>
      <c r="G162" s="444" t="n"/>
      <c r="H162" s="444" t="n"/>
      <c r="I162" s="444" t="n"/>
      <c r="J162" s="444" t="n"/>
      <c r="K162" s="444" t="n"/>
      <c r="L162" s="444" t="n"/>
      <c r="M162" s="444" t="n"/>
      <c r="N162" s="444" t="n"/>
      <c r="O162" s="444" t="n"/>
      <c r="P162" s="444" t="n"/>
      <c r="Q162" s="444" t="n"/>
      <c r="R162" s="444" t="n"/>
      <c r="S162" s="444" t="n"/>
    </row>
    <row r="163">
      <c r="A163" s="444" t="n"/>
      <c r="B163" s="444" t="n"/>
      <c r="C163" s="444" t="n"/>
      <c r="D163" s="444" t="n"/>
      <c r="E163" s="444" t="n"/>
      <c r="F163" s="419" t="n"/>
      <c r="G163" s="444" t="n"/>
      <c r="H163" s="444" t="n"/>
      <c r="I163" s="444" t="n"/>
      <c r="J163" s="444" t="n"/>
      <c r="K163" s="444" t="n"/>
      <c r="L163" s="444" t="n"/>
      <c r="M163" s="444" t="n"/>
      <c r="N163" s="444" t="n"/>
      <c r="O163" s="444" t="n"/>
      <c r="P163" s="444" t="n"/>
      <c r="Q163" s="444" t="n"/>
      <c r="R163" s="444" t="n"/>
      <c r="S163" s="444" t="n"/>
    </row>
    <row r="164">
      <c r="A164" s="444" t="n"/>
      <c r="B164" s="444" t="n"/>
      <c r="C164" s="444" t="n"/>
      <c r="D164" s="444" t="n"/>
      <c r="E164" s="444" t="n"/>
      <c r="F164" s="419" t="n"/>
      <c r="G164" s="444" t="n"/>
      <c r="H164" s="444" t="n"/>
      <c r="I164" s="444" t="n"/>
      <c r="J164" s="444" t="n"/>
      <c r="K164" s="444" t="n"/>
      <c r="L164" s="444" t="n"/>
      <c r="M164" s="444" t="n"/>
      <c r="N164" s="444" t="n"/>
      <c r="O164" s="444" t="n"/>
      <c r="P164" s="444" t="n"/>
      <c r="Q164" s="444" t="n"/>
      <c r="R164" s="444" t="n"/>
      <c r="S164" s="444" t="n"/>
    </row>
    <row r="165">
      <c r="A165" s="444" t="n"/>
      <c r="B165" s="444" t="n"/>
      <c r="C165" s="444" t="n"/>
      <c r="D165" s="444" t="n"/>
      <c r="E165" s="444" t="n"/>
      <c r="F165" s="419" t="n"/>
      <c r="G165" s="444" t="n"/>
      <c r="H165" s="444" t="n"/>
      <c r="I165" s="444" t="n"/>
      <c r="J165" s="444" t="n"/>
      <c r="K165" s="444" t="n"/>
      <c r="L165" s="444" t="n"/>
      <c r="M165" s="444" t="n"/>
      <c r="N165" s="444" t="n"/>
      <c r="O165" s="444" t="n"/>
      <c r="P165" s="444" t="n"/>
      <c r="Q165" s="444" t="n"/>
      <c r="R165" s="444" t="n"/>
      <c r="S165" s="444" t="n"/>
    </row>
    <row r="166">
      <c r="A166" s="444" t="n"/>
      <c r="B166" s="444" t="n"/>
      <c r="C166" s="444" t="n"/>
      <c r="D166" s="444" t="n"/>
      <c r="E166" s="444" t="n"/>
      <c r="F166" s="419" t="n"/>
      <c r="G166" s="444" t="n"/>
      <c r="H166" s="444" t="n"/>
      <c r="I166" s="444" t="n"/>
      <c r="J166" s="444" t="n"/>
      <c r="K166" s="444" t="n"/>
      <c r="L166" s="444" t="n"/>
      <c r="M166" s="444" t="n"/>
      <c r="N166" s="444" t="n"/>
      <c r="O166" s="444" t="n"/>
      <c r="P166" s="444" t="n"/>
      <c r="Q166" s="444" t="n"/>
      <c r="R166" s="444" t="n"/>
      <c r="S166" s="444" t="n"/>
    </row>
    <row r="167">
      <c r="A167" s="444" t="n"/>
      <c r="B167" s="444" t="n"/>
      <c r="C167" s="444" t="n"/>
      <c r="D167" s="444" t="n"/>
      <c r="E167" s="444" t="n"/>
      <c r="F167" s="419" t="n"/>
      <c r="G167" s="444" t="n"/>
      <c r="H167" s="444" t="n"/>
      <c r="I167" s="444" t="n"/>
      <c r="J167" s="444" t="n"/>
      <c r="K167" s="444" t="n"/>
      <c r="L167" s="444" t="n"/>
      <c r="M167" s="444" t="n"/>
      <c r="N167" s="444" t="n"/>
      <c r="O167" s="444" t="n"/>
      <c r="P167" s="444" t="n"/>
      <c r="Q167" s="444" t="n"/>
      <c r="R167" s="444" t="n"/>
      <c r="S167" s="444" t="n"/>
    </row>
    <row r="168">
      <c r="A168" s="444" t="n"/>
      <c r="B168" s="444" t="n"/>
      <c r="C168" s="444" t="n"/>
      <c r="D168" s="444" t="n"/>
      <c r="E168" s="444" t="n"/>
      <c r="F168" s="419" t="n"/>
      <c r="G168" s="444" t="n"/>
      <c r="H168" s="444" t="n"/>
      <c r="I168" s="444" t="n"/>
      <c r="J168" s="444" t="n"/>
      <c r="K168" s="444" t="n"/>
      <c r="L168" s="444" t="n"/>
      <c r="M168" s="444" t="n"/>
      <c r="N168" s="444" t="n"/>
      <c r="O168" s="444" t="n"/>
      <c r="P168" s="444" t="n"/>
      <c r="Q168" s="444" t="n"/>
      <c r="R168" s="444" t="n"/>
      <c r="S168" s="444" t="n"/>
    </row>
    <row r="169">
      <c r="A169" s="444" t="n"/>
      <c r="B169" s="444" t="n"/>
      <c r="C169" s="444" t="n"/>
      <c r="D169" s="444" t="n"/>
      <c r="E169" s="444" t="n"/>
      <c r="F169" s="419" t="n"/>
      <c r="G169" s="444" t="n"/>
      <c r="H169" s="444" t="n"/>
      <c r="I169" s="444" t="n"/>
      <c r="J169" s="444" t="n"/>
      <c r="K169" s="444" t="n"/>
      <c r="L169" s="444" t="n"/>
      <c r="M169" s="444" t="n"/>
      <c r="N169" s="444" t="n"/>
      <c r="O169" s="444" t="n"/>
      <c r="P169" s="444" t="n"/>
      <c r="Q169" s="444" t="n"/>
      <c r="R169" s="444" t="n"/>
      <c r="S169" s="444" t="n"/>
    </row>
    <row r="170">
      <c r="A170" s="444" t="n"/>
      <c r="B170" s="444" t="n"/>
      <c r="C170" s="444" t="n"/>
      <c r="D170" s="444" t="n"/>
      <c r="E170" s="444" t="n"/>
      <c r="F170" s="419" t="n"/>
      <c r="G170" s="444" t="n"/>
      <c r="H170" s="444" t="n"/>
      <c r="I170" s="444" t="n"/>
      <c r="J170" s="444" t="n"/>
      <c r="K170" s="444" t="n"/>
      <c r="L170" s="444" t="n"/>
      <c r="M170" s="444" t="n"/>
      <c r="N170" s="444" t="n"/>
      <c r="O170" s="444" t="n"/>
      <c r="P170" s="444" t="n"/>
      <c r="Q170" s="444" t="n"/>
      <c r="R170" s="444" t="n"/>
      <c r="S170" s="444" t="n"/>
    </row>
    <row r="171">
      <c r="A171" s="444" t="n"/>
      <c r="B171" s="444" t="n"/>
      <c r="C171" s="444" t="n"/>
      <c r="D171" s="444" t="n"/>
      <c r="E171" s="444" t="n"/>
      <c r="F171" s="419" t="n"/>
      <c r="G171" s="444" t="n"/>
      <c r="H171" s="444" t="n"/>
      <c r="I171" s="444" t="n"/>
      <c r="J171" s="444" t="n"/>
      <c r="K171" s="444" t="n"/>
      <c r="L171" s="444" t="n"/>
      <c r="M171" s="444" t="n"/>
      <c r="N171" s="444" t="n"/>
      <c r="O171" s="444" t="n"/>
      <c r="P171" s="444" t="n"/>
      <c r="Q171" s="444" t="n"/>
      <c r="R171" s="444" t="n"/>
      <c r="S171" s="444" t="n"/>
    </row>
    <row r="172">
      <c r="A172" s="444" t="n"/>
      <c r="B172" s="444" t="n"/>
      <c r="C172" s="444" t="n"/>
      <c r="D172" s="444" t="n"/>
      <c r="E172" s="444" t="n"/>
      <c r="F172" s="419" t="n"/>
      <c r="G172" s="444" t="n"/>
      <c r="H172" s="444" t="n"/>
      <c r="I172" s="444" t="n"/>
      <c r="J172" s="444" t="n"/>
      <c r="K172" s="444" t="n"/>
      <c r="L172" s="444" t="n"/>
      <c r="M172" s="444" t="n"/>
      <c r="N172" s="444" t="n"/>
      <c r="O172" s="444" t="n"/>
      <c r="P172" s="444" t="n"/>
      <c r="Q172" s="444" t="n"/>
      <c r="R172" s="444" t="n"/>
      <c r="S172" s="444" t="n"/>
    </row>
    <row r="173">
      <c r="A173" s="444" t="n"/>
      <c r="B173" s="444" t="n"/>
      <c r="C173" s="444" t="n"/>
      <c r="D173" s="444" t="n"/>
      <c r="E173" s="444" t="n"/>
      <c r="F173" s="419" t="n"/>
      <c r="G173" s="444" t="n"/>
      <c r="H173" s="444" t="n"/>
      <c r="I173" s="444" t="n"/>
      <c r="J173" s="444" t="n"/>
      <c r="K173" s="444" t="n"/>
      <c r="L173" s="444" t="n"/>
      <c r="M173" s="444" t="n"/>
      <c r="N173" s="444" t="n"/>
      <c r="O173" s="444" t="n"/>
      <c r="P173" s="444" t="n"/>
      <c r="Q173" s="444" t="n"/>
      <c r="R173" s="444" t="n"/>
      <c r="S173" s="444" t="n"/>
    </row>
    <row r="174">
      <c r="A174" s="444" t="n"/>
      <c r="B174" s="444" t="n"/>
      <c r="C174" s="444" t="n"/>
      <c r="D174" s="444" t="n"/>
      <c r="E174" s="444" t="n"/>
      <c r="F174" s="419" t="n"/>
      <c r="G174" s="444" t="n"/>
      <c r="H174" s="444" t="n"/>
      <c r="I174" s="444" t="n"/>
      <c r="J174" s="444" t="n"/>
      <c r="K174" s="444" t="n"/>
      <c r="L174" s="444" t="n"/>
      <c r="M174" s="444" t="n"/>
      <c r="N174" s="444" t="n"/>
      <c r="O174" s="444" t="n"/>
      <c r="P174" s="444" t="n"/>
      <c r="Q174" s="444" t="n"/>
      <c r="R174" s="444" t="n"/>
      <c r="S174" s="444" t="n"/>
    </row>
    <row r="175">
      <c r="A175" s="444" t="n"/>
      <c r="B175" s="444" t="n"/>
      <c r="C175" s="444" t="n"/>
      <c r="D175" s="444" t="n"/>
      <c r="E175" s="444" t="n"/>
      <c r="F175" s="419" t="n"/>
      <c r="G175" s="444" t="n"/>
      <c r="H175" s="444" t="n"/>
      <c r="I175" s="444" t="n"/>
      <c r="J175" s="444" t="n"/>
      <c r="K175" s="444" t="n"/>
      <c r="L175" s="444" t="n"/>
      <c r="M175" s="444" t="n"/>
      <c r="N175" s="444" t="n"/>
      <c r="O175" s="444" t="n"/>
      <c r="P175" s="444" t="n"/>
      <c r="Q175" s="444" t="n"/>
      <c r="R175" s="444" t="n"/>
      <c r="S175" s="444" t="n"/>
    </row>
    <row r="176">
      <c r="A176" s="444" t="n"/>
      <c r="B176" s="444" t="n"/>
      <c r="C176" s="444" t="n"/>
      <c r="D176" s="444" t="n"/>
      <c r="E176" s="444" t="n"/>
      <c r="F176" s="419" t="n"/>
      <c r="G176" s="444" t="n"/>
      <c r="H176" s="444" t="n"/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/>
      <c r="R176" s="444" t="n"/>
      <c r="S176" s="444" t="n"/>
    </row>
    <row r="177">
      <c r="A177" s="444" t="n"/>
      <c r="B177" s="444" t="n"/>
      <c r="C177" s="444" t="n"/>
      <c r="D177" s="444" t="n"/>
      <c r="E177" s="444" t="n"/>
      <c r="F177" s="419" t="n"/>
      <c r="G177" s="444" t="n"/>
      <c r="H177" s="444" t="n"/>
      <c r="I177" s="444" t="n"/>
      <c r="J177" s="444" t="n"/>
      <c r="K177" s="444" t="n"/>
      <c r="L177" s="444" t="n"/>
      <c r="M177" s="444" t="n"/>
      <c r="N177" s="444" t="n"/>
      <c r="O177" s="444" t="n"/>
      <c r="P177" s="444" t="n"/>
      <c r="Q177" s="444" t="n"/>
      <c r="R177" s="444" t="n"/>
      <c r="S177" s="444" t="n"/>
    </row>
    <row r="178">
      <c r="A178" s="444" t="n"/>
      <c r="B178" s="444" t="n"/>
      <c r="C178" s="444" t="n"/>
      <c r="D178" s="444" t="n"/>
      <c r="E178" s="444" t="n"/>
      <c r="F178" s="419" t="n"/>
      <c r="G178" s="444" t="n"/>
      <c r="H178" s="444" t="n"/>
      <c r="I178" s="444" t="n"/>
      <c r="J178" s="444" t="n"/>
      <c r="K178" s="444" t="n"/>
      <c r="L178" s="444" t="n"/>
      <c r="M178" s="444" t="n"/>
      <c r="N178" s="444" t="n"/>
      <c r="O178" s="444" t="n"/>
      <c r="P178" s="444" t="n"/>
      <c r="Q178" s="444" t="n"/>
      <c r="R178" s="444" t="n"/>
      <c r="S178" s="444" t="n"/>
    </row>
    <row r="179">
      <c r="A179" s="444" t="n"/>
      <c r="B179" s="444" t="n"/>
      <c r="C179" s="444" t="n"/>
      <c r="D179" s="444" t="n"/>
      <c r="E179" s="444" t="n"/>
      <c r="F179" s="419" t="n"/>
      <c r="G179" s="444" t="n"/>
      <c r="H179" s="444" t="n"/>
      <c r="I179" s="444" t="n"/>
      <c r="J179" s="444" t="n"/>
      <c r="K179" s="444" t="n"/>
      <c r="L179" s="444" t="n"/>
      <c r="M179" s="444" t="n"/>
      <c r="N179" s="444" t="n"/>
      <c r="O179" s="444" t="n"/>
      <c r="P179" s="444" t="n"/>
      <c r="Q179" s="444" t="n"/>
      <c r="R179" s="444" t="n"/>
      <c r="S179" s="444" t="n"/>
    </row>
    <row r="180">
      <c r="A180" s="444" t="n"/>
      <c r="B180" s="444" t="n"/>
      <c r="C180" s="444" t="n"/>
      <c r="D180" s="444" t="n"/>
      <c r="E180" s="444" t="n"/>
      <c r="F180" s="419" t="n"/>
      <c r="G180" s="444" t="n"/>
      <c r="H180" s="444" t="n"/>
      <c r="I180" s="444" t="n"/>
      <c r="J180" s="444" t="n"/>
      <c r="K180" s="444" t="n"/>
      <c r="L180" s="444" t="n"/>
      <c r="M180" s="444" t="n"/>
      <c r="N180" s="444" t="n"/>
      <c r="O180" s="444" t="n"/>
      <c r="P180" s="444" t="n"/>
      <c r="Q180" s="444" t="n"/>
      <c r="R180" s="444" t="n"/>
      <c r="S180" s="444" t="n"/>
    </row>
    <row r="181">
      <c r="G181" s="419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</row>
    <row r="182">
      <c r="G182" s="419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</row>
    <row r="183">
      <c r="G183" s="419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</row>
    <row r="184">
      <c r="G184" s="419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</row>
    <row r="185">
      <c r="G185" s="419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</row>
    <row r="186">
      <c r="G186" s="419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</row>
    <row r="187">
      <c r="G187" s="419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</row>
    <row r="188">
      <c r="G188" s="419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</row>
    <row r="189">
      <c r="G189" s="419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</row>
    <row r="190">
      <c r="G190" s="419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</row>
    <row r="191">
      <c r="G191" s="419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</row>
    <row r="192">
      <c r="G192" s="419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</row>
    <row r="193">
      <c r="G193" s="419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</row>
    <row r="194">
      <c r="G194" s="419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</row>
    <row r="195">
      <c r="G195" s="419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</row>
    <row r="196">
      <c r="G196" s="419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</row>
    <row r="197">
      <c r="G197" s="419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</row>
    <row r="198">
      <c r="G198" s="419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</row>
    <row r="199">
      <c r="G199" s="419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</row>
    <row r="200">
      <c r="G200" s="419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</row>
  </sheetData>
  <mergeCells count="20">
    <mergeCell ref="A2:E3"/>
    <mergeCell ref="H1:I1"/>
    <mergeCell ref="J1:K1"/>
    <mergeCell ref="P1:Q1"/>
    <mergeCell ref="P34:Q34"/>
    <mergeCell ref="H34:I34"/>
    <mergeCell ref="R34:S34"/>
    <mergeCell ref="A12:A33"/>
    <mergeCell ref="J34:K34"/>
    <mergeCell ref="A34:D34"/>
    <mergeCell ref="N1:O1"/>
    <mergeCell ref="A9:A11"/>
    <mergeCell ref="A4:E7"/>
    <mergeCell ref="T1:U1"/>
    <mergeCell ref="L1:M1"/>
    <mergeCell ref="L34:M34"/>
    <mergeCell ref="N34:O34"/>
    <mergeCell ref="T34:U34"/>
    <mergeCell ref="L35:R35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5" customWidth="1" style="527" min="1" max="1"/>
    <col width="13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7" min="6" max="6"/>
    <col width="12.75" customWidth="1" style="79" min="7" max="7"/>
    <col width="13.125" customWidth="1" style="526" min="8" max="9"/>
    <col width="9" customWidth="1" style="526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9" t="inlineStr">
        <is>
          <t>网价[2026-04-30]</t>
        </is>
      </c>
      <c r="H1" s="203" t="n">
        <v>1</v>
      </c>
      <c r="I1" s="530" t="n"/>
      <c r="J1" s="204" t="n"/>
      <c r="K1" s="376" t="n"/>
    </row>
    <row r="2" ht="14.25" customHeight="1" s="527">
      <c r="A2" s="11" t="inlineStr">
        <is>
          <t>钢材询价表（桂鑫）</t>
        </is>
      </c>
      <c r="F2" s="205" t="inlineStr">
        <is>
          <t>高线10基价</t>
        </is>
      </c>
      <c r="G2" s="206" t="inlineStr">
        <is>
          <t>/</t>
        </is>
      </c>
      <c r="H2" s="210" t="n"/>
      <c r="I2" s="207" t="n"/>
      <c r="J2" s="204" t="n"/>
      <c r="K2" s="376" t="n"/>
    </row>
    <row r="3" ht="14.25" customHeight="1" s="527">
      <c r="F3" s="205" t="inlineStr">
        <is>
          <t>盘螺10基价</t>
        </is>
      </c>
      <c r="G3" s="208" t="n">
        <v>3560</v>
      </c>
      <c r="H3" s="210" t="n"/>
      <c r="I3" s="207" t="n"/>
      <c r="J3" s="204" t="n"/>
      <c r="K3" s="376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09" t="n">
        <v>3430</v>
      </c>
      <c r="H4" s="210" t="n"/>
      <c r="I4" s="207" t="n"/>
      <c r="J4" s="204" t="n"/>
      <c r="K4" s="376" t="n"/>
    </row>
    <row r="5" ht="14.25" customHeight="1" s="527">
      <c r="E5" s="533" t="n"/>
      <c r="F5" s="210" t="inlineStr">
        <is>
          <t>不开票运费</t>
        </is>
      </c>
      <c r="G5" s="211" t="n"/>
      <c r="H5" s="210" t="n"/>
      <c r="I5" s="207" t="n"/>
      <c r="J5" s="204" t="n"/>
      <c r="K5" s="376" t="n"/>
    </row>
    <row r="6" ht="14.25" customHeight="1" s="527">
      <c r="E6" s="533" t="n"/>
      <c r="F6" s="210" t="inlineStr">
        <is>
          <t>一票制运费</t>
        </is>
      </c>
      <c r="G6" s="208" t="n">
        <v>0</v>
      </c>
      <c r="H6" s="210" t="n"/>
      <c r="I6" s="207" t="n"/>
      <c r="J6" s="204" t="n"/>
      <c r="K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08" t="n"/>
      <c r="H7" s="210" t="n"/>
      <c r="I7" s="207" t="n"/>
      <c r="J7" s="204" t="n"/>
      <c r="K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13" t="inlineStr">
        <is>
          <t>合肥市场网价</t>
        </is>
      </c>
      <c r="H8" s="210" t="inlineStr">
        <is>
          <t>航鑫</t>
        </is>
      </c>
      <c r="I8" s="207" t="inlineStr">
        <is>
          <t>网差</t>
        </is>
      </c>
      <c r="J8" s="9" t="inlineStr">
        <is>
          <t>正常级差</t>
        </is>
      </c>
      <c r="K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204" t="n"/>
      <c r="K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204" t="n"/>
      <c r="K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204" t="n"/>
      <c r="K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110" t="inlineStr">
        <is>
          <t>/</t>
        </is>
      </c>
      <c r="H12" s="21" t="inlineStr">
        <is>
          <t>/</t>
        </is>
      </c>
      <c r="I12" s="110" t="inlineStr">
        <is>
          <t>/</t>
        </is>
      </c>
      <c r="J12" s="204" t="n"/>
      <c r="K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110" t="inlineStr">
        <is>
          <t>/</t>
        </is>
      </c>
      <c r="H13" s="21">
        <f>H3+H6+H7</f>
        <v/>
      </c>
      <c r="I13" s="110" t="inlineStr">
        <is>
          <t>/</t>
        </is>
      </c>
      <c r="J13" s="204" t="n"/>
      <c r="K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110" t="inlineStr">
        <is>
          <t>/</t>
        </is>
      </c>
      <c r="H14" s="21">
        <f>H3+H6+H7</f>
        <v/>
      </c>
      <c r="I14" s="110" t="inlineStr">
        <is>
          <t>/</t>
        </is>
      </c>
      <c r="J14" s="204" t="n"/>
      <c r="K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4" t="n"/>
      <c r="G15" s="110" t="inlineStr">
        <is>
          <t>/</t>
        </is>
      </c>
      <c r="H15" s="214" t="n"/>
      <c r="I15" s="110" t="n"/>
      <c r="J15" s="217" t="n"/>
      <c r="K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G4+G6+G7+60+10+10</f>
        <v/>
      </c>
      <c r="H16" s="214">
        <f>H4+H6+H7+50+10</f>
        <v/>
      </c>
      <c r="I16" s="110">
        <f>G16-H16</f>
        <v/>
      </c>
      <c r="J16" s="217" t="n">
        <v>60</v>
      </c>
      <c r="K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G4+G6+G7+60+10+10</f>
        <v/>
      </c>
      <c r="H17" s="214">
        <f>H4+H6+H7+50+10</f>
        <v/>
      </c>
      <c r="I17" s="110">
        <f>G17-H17</f>
        <v/>
      </c>
      <c r="J17" s="217" t="n">
        <v>60</v>
      </c>
      <c r="K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G4+G6+G7+20+30</f>
        <v/>
      </c>
      <c r="H18" s="214">
        <f>H4+H6+H7+30+20</f>
        <v/>
      </c>
      <c r="I18" s="110">
        <f>G18-H18</f>
        <v/>
      </c>
      <c r="J18" s="217" t="n">
        <v>50</v>
      </c>
      <c r="K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G4+G6+G7+20+30</f>
        <v/>
      </c>
      <c r="H19" s="214">
        <f>H4+H6+H7+30+20</f>
        <v/>
      </c>
      <c r="I19" s="110">
        <f>G19-H19</f>
        <v/>
      </c>
      <c r="J19" s="217" t="n">
        <v>50</v>
      </c>
      <c r="K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G4+G6+G7+20+10+10+10</f>
        <v/>
      </c>
      <c r="H20" s="214">
        <f>H4+H6+H7+30+20</f>
        <v/>
      </c>
      <c r="I20" s="110">
        <f>G20-H20</f>
        <v/>
      </c>
      <c r="J20" s="217" t="n">
        <v>50</v>
      </c>
      <c r="K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G4+G6+G7+20+10+10+10</f>
        <v/>
      </c>
      <c r="H21" s="214">
        <f>H4+H6+H7+30+20</f>
        <v/>
      </c>
      <c r="I21" s="110">
        <f>G21-H21</f>
        <v/>
      </c>
      <c r="J21" s="217" t="n">
        <v>50</v>
      </c>
      <c r="K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8">
        <f>H4+H6+10</f>
        <v/>
      </c>
      <c r="I22" s="120">
        <f>G22-H22</f>
        <v/>
      </c>
      <c r="J22" s="220" t="n">
        <v>10</v>
      </c>
      <c r="K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8">
        <f>H4+H6+10</f>
        <v/>
      </c>
      <c r="I23" s="120">
        <f>G23-H23</f>
        <v/>
      </c>
      <c r="J23" s="220" t="n">
        <v>10</v>
      </c>
      <c r="K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G4+G6+G7+30+20</f>
        <v/>
      </c>
      <c r="H24" s="36">
        <f>H4+H6+50+H7</f>
        <v/>
      </c>
      <c r="I24" s="110">
        <f>G24-H24</f>
        <v/>
      </c>
      <c r="J24" s="125">
        <f>J3+J5+50+J6</f>
        <v/>
      </c>
      <c r="K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G4+G6+G7+30+20</f>
        <v/>
      </c>
      <c r="H25" s="36">
        <f>H4+H6+50+H7</f>
        <v/>
      </c>
      <c r="I25" s="110">
        <f>G25-H25</f>
        <v/>
      </c>
      <c r="J25" s="125">
        <f>J3+J5+50+J6</f>
        <v/>
      </c>
      <c r="K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G4+G6+G7+10+20+30+10</f>
        <v/>
      </c>
      <c r="H26" s="36">
        <f>H4+H6+30+H7+30+10</f>
        <v/>
      </c>
      <c r="I26" s="110">
        <f>G26-H26</f>
        <v/>
      </c>
      <c r="J26" s="125" t="n">
        <v>70</v>
      </c>
      <c r="K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G4+G6+G7+10+20+30+10</f>
        <v/>
      </c>
      <c r="H27" s="36">
        <f>H4+H6+30+H7+30+10</f>
        <v/>
      </c>
      <c r="I27" s="110">
        <f>G27-H27</f>
        <v/>
      </c>
      <c r="J27" s="125" t="n">
        <v>70</v>
      </c>
      <c r="K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G4+G6+G7+30+20+20</f>
        <v/>
      </c>
      <c r="H28" s="36">
        <f>H4+H6+60+H7+10</f>
        <v/>
      </c>
      <c r="I28" s="110">
        <f>G28-H28</f>
        <v/>
      </c>
      <c r="J28" s="125" t="n">
        <v>70</v>
      </c>
      <c r="K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G4+G6+G7+30+20+20</f>
        <v/>
      </c>
      <c r="H29" s="36">
        <f>H4+H6+60+H7+10</f>
        <v/>
      </c>
      <c r="I29" s="110">
        <f>G29-H29</f>
        <v/>
      </c>
      <c r="J29" s="125" t="n">
        <v>70</v>
      </c>
      <c r="K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450">
        <f>G4+G6+G7+80+20</f>
        <v/>
      </c>
      <c r="H30" s="450">
        <f>H4+H6+H7+80</f>
        <v/>
      </c>
      <c r="I30" s="110">
        <f>G30-H30</f>
        <v/>
      </c>
      <c r="J30" s="194">
        <f>J3+J5+J6+80</f>
        <v/>
      </c>
      <c r="K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450">
        <f>G4+G6+G7+80+20</f>
        <v/>
      </c>
      <c r="H31" s="450">
        <f>H4+H6+H7+80</f>
        <v/>
      </c>
      <c r="I31" s="110">
        <f>G31-H31</f>
        <v/>
      </c>
      <c r="J31" s="194">
        <f>J3+J5+J6+80</f>
        <v/>
      </c>
      <c r="K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450">
        <f>G4+G6+G7+100</f>
        <v/>
      </c>
      <c r="H32" s="450">
        <f>H4+H6+H7+100</f>
        <v/>
      </c>
      <c r="I32" s="110">
        <f>G32-H32</f>
        <v/>
      </c>
      <c r="J32" s="194">
        <f>J3+J5+J6+100</f>
        <v/>
      </c>
      <c r="K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450">
        <f>G4+G6+G7+100</f>
        <v/>
      </c>
      <c r="H33" s="450">
        <f>H4+H6+H7+100</f>
        <v/>
      </c>
      <c r="I33" s="110">
        <f>G33-H33</f>
        <v/>
      </c>
      <c r="J33" s="194">
        <f>J3+J5+J6+100</f>
        <v/>
      </c>
      <c r="K33" s="376" t="n">
        <v>1.893</v>
      </c>
    </row>
    <row r="34" ht="16.5" customHeight="1" s="527">
      <c r="A34" s="30" t="inlineStr">
        <is>
          <t>合计（吨）</t>
        </is>
      </c>
      <c r="B34" s="531" t="n"/>
      <c r="C34" s="531" t="n"/>
      <c r="D34" s="530" t="n"/>
      <c r="E34" s="221">
        <f>SUM(E9:E33)</f>
        <v/>
      </c>
      <c r="F34" s="214" t="inlineStr">
        <is>
          <t>备注</t>
        </is>
      </c>
      <c r="G34" s="222" t="n"/>
      <c r="H34" s="223" t="n"/>
      <c r="I34" s="224" t="n"/>
      <c r="J34" s="204" t="n"/>
      <c r="K34" s="376" t="n"/>
    </row>
    <row r="35">
      <c r="A35" s="4" t="n"/>
      <c r="B35" s="4" t="n"/>
      <c r="C35" s="4" t="n"/>
      <c r="D35" s="4" t="n"/>
      <c r="E35" s="4" t="n"/>
      <c r="F35" s="225" t="n"/>
      <c r="G35" s="226" t="n"/>
      <c r="H35" s="226" t="n"/>
      <c r="I35" s="226" t="n"/>
      <c r="J35" s="424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G181" s="419" t="n"/>
      <c r="H181" s="419" t="n"/>
      <c r="I181" s="419" t="n"/>
    </row>
    <row r="182">
      <c r="G182" s="419" t="n"/>
      <c r="H182" s="419" t="n"/>
      <c r="I182" s="419" t="n"/>
    </row>
    <row r="183">
      <c r="G183" s="419" t="n"/>
      <c r="H183" s="419" t="n"/>
      <c r="I183" s="419" t="n"/>
    </row>
    <row r="184">
      <c r="G184" s="419" t="n"/>
      <c r="H184" s="419" t="n"/>
      <c r="I184" s="419" t="n"/>
    </row>
    <row r="185">
      <c r="G185" s="419" t="n"/>
      <c r="H185" s="419" t="n"/>
      <c r="I185" s="419" t="n"/>
    </row>
    <row r="186">
      <c r="G186" s="419" t="n"/>
      <c r="H186" s="419" t="n"/>
      <c r="I186" s="419" t="n"/>
    </row>
    <row r="187">
      <c r="G187" s="419" t="n"/>
      <c r="H187" s="419" t="n"/>
      <c r="I187" s="419" t="n"/>
    </row>
    <row r="188">
      <c r="G188" s="419" t="n"/>
      <c r="H188" s="419" t="n"/>
      <c r="I188" s="419" t="n"/>
    </row>
    <row r="189">
      <c r="G189" s="419" t="n"/>
      <c r="H189" s="419" t="n"/>
      <c r="I189" s="419" t="n"/>
    </row>
    <row r="190">
      <c r="G190" s="419" t="n"/>
      <c r="H190" s="419" t="n"/>
      <c r="I190" s="419" t="n"/>
    </row>
    <row r="191">
      <c r="G191" s="419" t="n"/>
      <c r="H191" s="419" t="n"/>
      <c r="I191" s="419" t="n"/>
    </row>
    <row r="192">
      <c r="G192" s="419" t="n"/>
      <c r="H192" s="419" t="n"/>
      <c r="I192" s="419" t="n"/>
    </row>
    <row r="193">
      <c r="G193" s="419" t="n"/>
      <c r="H193" s="419" t="n"/>
      <c r="I193" s="419" t="n"/>
    </row>
    <row r="194">
      <c r="G194" s="419" t="n"/>
      <c r="H194" s="419" t="n"/>
      <c r="I194" s="419" t="n"/>
    </row>
    <row r="195">
      <c r="G195" s="419" t="n"/>
      <c r="H195" s="419" t="n"/>
      <c r="I195" s="419" t="n"/>
    </row>
    <row r="196">
      <c r="G196" s="419" t="n"/>
      <c r="H196" s="419" t="n"/>
      <c r="I196" s="419" t="n"/>
    </row>
    <row r="197">
      <c r="G197" s="419" t="n"/>
      <c r="H197" s="419" t="n"/>
      <c r="I197" s="419" t="n"/>
    </row>
    <row r="198">
      <c r="G198" s="419" t="n"/>
      <c r="H198" s="419" t="n"/>
      <c r="I198" s="419" t="n"/>
    </row>
    <row r="199">
      <c r="G199" s="419" t="n"/>
      <c r="H199" s="419" t="n"/>
      <c r="I199" s="419" t="n"/>
    </row>
    <row r="200"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南钢">
    <tabColor rgb="FFFF0000"/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width="12.125" customWidth="1" style="3" min="10" max="10"/>
    <col width="9" customWidth="1" style="3" min="11" max="11"/>
    <col hidden="1" width="9" customWidth="1" style="440" min="12" max="12"/>
    <col width="9" customWidth="1" style="440" min="13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7" t="inlineStr">
        <is>
          <t>网价[2026-04-29]</t>
        </is>
      </c>
      <c r="H1" s="179" t="inlineStr">
        <is>
          <t>填写抗震基价</t>
        </is>
      </c>
      <c r="I1" s="536" t="n"/>
      <c r="J1" s="179" t="inlineStr">
        <is>
          <t>填写抗震基价</t>
        </is>
      </c>
      <c r="K1" s="181" t="n"/>
      <c r="L1" s="182" t="n"/>
      <c r="M1" s="9" t="n"/>
      <c r="N1" s="376" t="n"/>
    </row>
    <row r="2" ht="14.25" customHeight="1" s="527">
      <c r="A2" s="11" t="inlineStr">
        <is>
          <t>钢材询价表（南钢）</t>
        </is>
      </c>
      <c r="F2" s="513" t="inlineStr">
        <is>
          <t>高线10基价</t>
        </is>
      </c>
      <c r="G2" s="183" t="inlineStr">
        <is>
          <t>/</t>
        </is>
      </c>
      <c r="H2" s="502" t="n"/>
      <c r="I2" s="456" t="inlineStr">
        <is>
          <t>/</t>
        </is>
      </c>
      <c r="J2" s="502" t="n"/>
      <c r="K2" s="513" t="inlineStr">
        <is>
          <t>/</t>
        </is>
      </c>
      <c r="L2" s="182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3670</v>
      </c>
      <c r="H3" s="187" t="n">
        <v>3420</v>
      </c>
      <c r="I3" s="302" t="n"/>
      <c r="J3" s="187" t="n"/>
      <c r="K3" s="513" t="n"/>
      <c r="L3" s="182" t="n"/>
      <c r="M3" s="9" t="n"/>
      <c r="N3" s="376" t="n"/>
      <c r="O3" s="440" t="n">
        <v>3380</v>
      </c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3440</v>
      </c>
      <c r="H4" s="189" t="n"/>
      <c r="I4" s="456" t="n"/>
      <c r="J4" s="189" t="n"/>
      <c r="K4" s="513" t="n"/>
      <c r="L4" s="182" t="n"/>
      <c r="M4" s="9" t="n"/>
      <c r="N4" s="376" t="n"/>
      <c r="O4" s="440" t="n">
        <v>3210</v>
      </c>
    </row>
    <row r="5" ht="14.25" customHeight="1" s="527">
      <c r="E5" s="533" t="n"/>
      <c r="F5" s="21" t="inlineStr">
        <is>
          <t>不开票运费</t>
        </is>
      </c>
      <c r="G5" s="190" t="n"/>
      <c r="H5" s="450" t="n"/>
      <c r="J5" s="450" t="n"/>
      <c r="K5" s="513" t="inlineStr">
        <is>
          <t>/</t>
        </is>
      </c>
      <c r="L5" s="182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191" t="n">
        <v>0</v>
      </c>
      <c r="H6" s="450" t="n"/>
      <c r="I6" s="456" t="inlineStr">
        <is>
          <t>/</t>
        </is>
      </c>
      <c r="J6" s="450" t="n"/>
      <c r="K6" s="513" t="inlineStr">
        <is>
          <t>/</t>
        </is>
      </c>
      <c r="L6" s="182" t="n"/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191" t="n"/>
      <c r="H7" s="450" t="n"/>
      <c r="I7" s="456" t="inlineStr">
        <is>
          <t>/</t>
        </is>
      </c>
      <c r="J7" s="450" t="n"/>
      <c r="K7" s="513" t="inlineStr">
        <is>
          <t>/</t>
        </is>
      </c>
      <c r="L7" s="182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83" t="inlineStr">
        <is>
          <t>合肥市场网价</t>
        </is>
      </c>
      <c r="H8" s="502" t="inlineStr">
        <is>
          <t>瑞豪</t>
        </is>
      </c>
      <c r="I8" s="456" t="inlineStr">
        <is>
          <t>网差</t>
        </is>
      </c>
      <c r="J8" s="502" t="inlineStr">
        <is>
          <t>寻钢</t>
        </is>
      </c>
      <c r="K8" s="513" t="inlineStr">
        <is>
          <t>网差</t>
        </is>
      </c>
      <c r="L8" s="182" t="inlineStr">
        <is>
          <t>件重</t>
        </is>
      </c>
      <c r="M8" s="9" t="inlineStr">
        <is>
          <t>正常级差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83" t="inlineStr">
        <is>
          <t>/</t>
        </is>
      </c>
      <c r="H9" s="456" t="inlineStr">
        <is>
          <t>/</t>
        </is>
      </c>
      <c r="I9" s="456" t="inlineStr">
        <is>
          <t>/</t>
        </is>
      </c>
      <c r="J9" s="456" t="inlineStr">
        <is>
          <t>/</t>
        </is>
      </c>
      <c r="K9" s="513" t="inlineStr">
        <is>
          <t>/</t>
        </is>
      </c>
      <c r="L9" s="182" t="n"/>
      <c r="M9" s="9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83" t="inlineStr">
        <is>
          <t>/</t>
        </is>
      </c>
      <c r="H10" s="456" t="inlineStr">
        <is>
          <t>/</t>
        </is>
      </c>
      <c r="I10" s="456" t="inlineStr">
        <is>
          <t>/</t>
        </is>
      </c>
      <c r="J10" s="456" t="inlineStr">
        <is>
          <t>/</t>
        </is>
      </c>
      <c r="K10" s="513" t="inlineStr">
        <is>
          <t>/</t>
        </is>
      </c>
      <c r="L10" s="182" t="n"/>
      <c r="M10" s="9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83" t="inlineStr">
        <is>
          <t>/</t>
        </is>
      </c>
      <c r="H11" s="456" t="inlineStr">
        <is>
          <t>/</t>
        </is>
      </c>
      <c r="I11" s="456" t="inlineStr">
        <is>
          <t>/</t>
        </is>
      </c>
      <c r="J11" s="456" t="inlineStr">
        <is>
          <t>/</t>
        </is>
      </c>
      <c r="K11" s="513" t="inlineStr">
        <is>
          <t>/</t>
        </is>
      </c>
      <c r="L11" s="182" t="n"/>
      <c r="M11" s="9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83">
        <f>G3+400</f>
        <v/>
      </c>
      <c r="H12" s="456">
        <f>H3+400</f>
        <v/>
      </c>
      <c r="I12" s="456">
        <f>G12-H12</f>
        <v/>
      </c>
      <c r="J12" s="456">
        <f>J3+400</f>
        <v/>
      </c>
      <c r="K12" s="513">
        <f>I12-J12</f>
        <v/>
      </c>
      <c r="L12" s="182" t="n"/>
      <c r="M12" s="376" t="n">
        <v>400</v>
      </c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191">
        <f>G3+G6+G7</f>
        <v/>
      </c>
      <c r="H13" s="441">
        <f>H3+H6+H7</f>
        <v/>
      </c>
      <c r="I13" s="456">
        <f>G13-H13</f>
        <v/>
      </c>
      <c r="J13" s="441">
        <f>J3+J6+J7</f>
        <v/>
      </c>
      <c r="K13" s="513">
        <f>I13-J13</f>
        <v/>
      </c>
      <c r="L13" s="182" t="n"/>
      <c r="M13" s="194">
        <f>M3+M6+M7</f>
        <v/>
      </c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192">
        <f>G3+G6+G7</f>
        <v/>
      </c>
      <c r="H14" s="156">
        <f>H3+H6+H7</f>
        <v/>
      </c>
      <c r="I14" s="456">
        <f>G14-H14</f>
        <v/>
      </c>
      <c r="J14" s="156">
        <f>J3+J6+J7</f>
        <v/>
      </c>
      <c r="K14" s="513">
        <f>I14-J14</f>
        <v/>
      </c>
      <c r="L14" s="182" t="n"/>
      <c r="M14" s="124">
        <f>M3+M6+M7</f>
        <v/>
      </c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1">
        <f>G3+50</f>
        <v/>
      </c>
      <c r="H15" s="441" t="n"/>
      <c r="I15" s="456" t="n"/>
      <c r="J15" s="441" t="n"/>
      <c r="K15" s="513" t="n"/>
      <c r="L15" s="182" t="n"/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193">
        <f>G4+G6+G7+100</f>
        <v/>
      </c>
      <c r="H16" s="441">
        <f>H4+H6+H7+120</f>
        <v/>
      </c>
      <c r="I16" s="456">
        <f>G16-H16</f>
        <v/>
      </c>
      <c r="J16" s="441">
        <f>J4+J6+J7+120</f>
        <v/>
      </c>
      <c r="K16" s="513">
        <f>G16-J16</f>
        <v/>
      </c>
      <c r="L16" s="182" t="n">
        <v>1.998</v>
      </c>
      <c r="M16" s="194" t="n">
        <v>120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193">
        <f>G4+G6+G7+100</f>
        <v/>
      </c>
      <c r="H17" s="441">
        <f>H4+H6+H7+120</f>
        <v/>
      </c>
      <c r="I17" s="456">
        <f>G17-H17</f>
        <v/>
      </c>
      <c r="J17" s="441">
        <f>J4+J6+J7+120</f>
        <v/>
      </c>
      <c r="K17" s="513">
        <f>G17-J17</f>
        <v/>
      </c>
      <c r="L17" s="182" t="n">
        <v>2.664</v>
      </c>
      <c r="M17" s="194" t="n">
        <v>120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193">
        <f>G4+G6+G7+60</f>
        <v/>
      </c>
      <c r="H18" s="441">
        <f>H4+H6+H7+60</f>
        <v/>
      </c>
      <c r="I18" s="456">
        <f>G18-H18</f>
        <v/>
      </c>
      <c r="J18" s="441">
        <f>J4+J6+J7+60</f>
        <v/>
      </c>
      <c r="K18" s="513">
        <f>G18-J18</f>
        <v/>
      </c>
      <c r="L18" s="182" t="n">
        <v>1.96</v>
      </c>
      <c r="M18" s="194">
        <f>M4+M6+M7+60</f>
        <v/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G4+G6+G7+60</f>
        <v/>
      </c>
      <c r="H19" s="441">
        <f>H4+H6+H7+60</f>
        <v/>
      </c>
      <c r="I19" s="456">
        <f>G19-H19</f>
        <v/>
      </c>
      <c r="J19" s="441">
        <f>J4+J6+J7+60</f>
        <v/>
      </c>
      <c r="K19" s="513">
        <f>G19-J19</f>
        <v/>
      </c>
      <c r="L19" s="182" t="n">
        <v>2.614</v>
      </c>
      <c r="M19" s="194">
        <f>M4+M6+M7+60</f>
        <v/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193">
        <f>G4+G6+G7+10+20</f>
        <v/>
      </c>
      <c r="H20" s="441">
        <f>H4+H6+H7+30</f>
        <v/>
      </c>
      <c r="I20" s="456">
        <f>G20-H20</f>
        <v/>
      </c>
      <c r="J20" s="441">
        <f>J4+J6+J7+30</f>
        <v/>
      </c>
      <c r="K20" s="513">
        <f>G20-J20</f>
        <v/>
      </c>
      <c r="L20" s="182" t="n">
        <v>1.991</v>
      </c>
      <c r="M20" s="194" t="n">
        <v>30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193">
        <f>G4+G6+G7+10+20</f>
        <v/>
      </c>
      <c r="H21" s="441">
        <f>H4+H6+H7+30</f>
        <v/>
      </c>
      <c r="I21" s="456">
        <f>G21-H21</f>
        <v/>
      </c>
      <c r="J21" s="441">
        <f>J4+J6+J7+30</f>
        <v/>
      </c>
      <c r="K21" s="513">
        <f>G21-J21</f>
        <v/>
      </c>
      <c r="L21" s="182" t="n">
        <v>2.654</v>
      </c>
      <c r="M21" s="194" t="n">
        <v>30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195">
        <f>G4+G6+G7</f>
        <v/>
      </c>
      <c r="H22" s="156">
        <f>H4+H6+H7+30</f>
        <v/>
      </c>
      <c r="I22" s="456">
        <f>G22-H22</f>
        <v/>
      </c>
      <c r="J22" s="156">
        <f>J4+J6+J7+30</f>
        <v/>
      </c>
      <c r="K22" s="513">
        <f>G22-J22</f>
        <v/>
      </c>
      <c r="L22" s="182" t="n">
        <v>1.98</v>
      </c>
      <c r="M22" s="124" t="n">
        <v>30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195">
        <f>G4+G6+G7</f>
        <v/>
      </c>
      <c r="H23" s="156">
        <f>H4+H6+H7+30</f>
        <v/>
      </c>
      <c r="I23" s="456">
        <f>G23-H23</f>
        <v/>
      </c>
      <c r="J23" s="156">
        <f>J4+J6+J7+30</f>
        <v/>
      </c>
      <c r="K23" s="513">
        <f>G23-J23</f>
        <v/>
      </c>
      <c r="L23" s="182" t="n">
        <v>2.64</v>
      </c>
      <c r="M23" s="124" t="n">
        <v>30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193">
        <f>G4+G6+G7+10+20</f>
        <v/>
      </c>
      <c r="H24" s="441">
        <f>H4+H6+H7+30</f>
        <v/>
      </c>
      <c r="I24" s="456">
        <f>G24-H24</f>
        <v/>
      </c>
      <c r="J24" s="441">
        <f>J4+J6+J7+30</f>
        <v/>
      </c>
      <c r="K24" s="513">
        <f>G24-J24</f>
        <v/>
      </c>
      <c r="L24" s="182" t="n">
        <v>2.001</v>
      </c>
      <c r="M24" s="194" t="n">
        <v>30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193">
        <f>G4+G6+G7+10+20</f>
        <v/>
      </c>
      <c r="H25" s="441">
        <f>H4+H6+H7+30</f>
        <v/>
      </c>
      <c r="I25" s="456">
        <f>G25-H25</f>
        <v/>
      </c>
      <c r="J25" s="441">
        <f>J4+J6+J7+30</f>
        <v/>
      </c>
      <c r="K25" s="513">
        <f>G25-J25</f>
        <v/>
      </c>
      <c r="L25" s="182" t="n">
        <v>2.668</v>
      </c>
      <c r="M25" s="194" t="n">
        <v>30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193">
        <f>G4+G6+G7+30+20</f>
        <v/>
      </c>
      <c r="H26" s="441">
        <f>H4+H6+H7+30+20</f>
        <v/>
      </c>
      <c r="I26" s="456">
        <f>G26-H26</f>
        <v/>
      </c>
      <c r="J26" s="441">
        <f>J4+J6+J7+30+20</f>
        <v/>
      </c>
      <c r="K26" s="513">
        <f>G26-J26</f>
        <v/>
      </c>
      <c r="L26" s="182" t="n">
        <v>2.012</v>
      </c>
      <c r="M26" s="194" t="n">
        <v>50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193">
        <f>G4+G6+G7+30+20</f>
        <v/>
      </c>
      <c r="H27" s="441">
        <f>H4+H6+H7+30+20</f>
        <v/>
      </c>
      <c r="I27" s="456">
        <f>G27-H27</f>
        <v/>
      </c>
      <c r="J27" s="441">
        <f>J4+J6+J7+30+20</f>
        <v/>
      </c>
      <c r="K27" s="513">
        <f>G27-J27</f>
        <v/>
      </c>
      <c r="L27" s="182" t="n">
        <v>2.682</v>
      </c>
      <c r="M27" s="194" t="n">
        <v>50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193">
        <f>G4+G6+G7+30+20+20</f>
        <v/>
      </c>
      <c r="H28" s="441">
        <f>H4+H6+H7+50+30</f>
        <v/>
      </c>
      <c r="I28" s="456">
        <f>G28-H28</f>
        <v/>
      </c>
      <c r="J28" s="441">
        <f>J4+J6+J7+50+30</f>
        <v/>
      </c>
      <c r="K28" s="513">
        <f>G28-J28</f>
        <v/>
      </c>
      <c r="L28" s="182" t="n">
        <v>1.906</v>
      </c>
      <c r="M28" s="194" t="n">
        <v>80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193">
        <f>G4+G6+G7+30+20+20</f>
        <v/>
      </c>
      <c r="H29" s="441">
        <f>H4+H6+H7+50+30</f>
        <v/>
      </c>
      <c r="I29" s="456">
        <f>G29-H29</f>
        <v/>
      </c>
      <c r="J29" s="441">
        <f>J4+J6+J7+50+30</f>
        <v/>
      </c>
      <c r="K29" s="513">
        <f>G29-J29</f>
        <v/>
      </c>
      <c r="L29" s="182" t="n">
        <v>2.541</v>
      </c>
      <c r="M29" s="194" t="n">
        <v>80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450">
        <f>G4+G6+G7+80</f>
        <v/>
      </c>
      <c r="H30" s="450">
        <f>H4+H6+H7+80</f>
        <v/>
      </c>
      <c r="I30" s="37" t="inlineStr">
        <is>
          <t>/</t>
        </is>
      </c>
      <c r="J30" s="450">
        <f>J4+J6+J7+80</f>
        <v/>
      </c>
      <c r="K30" s="37" t="inlineStr">
        <is>
          <t>/</t>
        </is>
      </c>
      <c r="L30" s="182" t="n">
        <v>1.956</v>
      </c>
      <c r="M30" s="194" t="n">
        <v>80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450">
        <f>G4+G6+G7+80</f>
        <v/>
      </c>
      <c r="H31" s="450">
        <f>H4+H6+H7+80</f>
        <v/>
      </c>
      <c r="I31" s="37" t="inlineStr">
        <is>
          <t>/</t>
        </is>
      </c>
      <c r="J31" s="450">
        <f>J4+J6+J7+80</f>
        <v/>
      </c>
      <c r="K31" s="37" t="inlineStr">
        <is>
          <t>/</t>
        </is>
      </c>
      <c r="L31" s="182" t="n">
        <v>2.608</v>
      </c>
      <c r="M31" s="194" t="n">
        <v>80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450">
        <f>G4+G6+G7+80</f>
        <v/>
      </c>
      <c r="H32" s="450">
        <f>H4+H6+H7+80</f>
        <v/>
      </c>
      <c r="I32" s="37" t="inlineStr">
        <is>
          <t>/</t>
        </is>
      </c>
      <c r="J32" s="450">
        <f>J4+J6+J7+80</f>
        <v/>
      </c>
      <c r="K32" s="37" t="inlineStr">
        <is>
          <t>/</t>
        </is>
      </c>
      <c r="L32" s="182" t="n">
        <v>1.988</v>
      </c>
      <c r="M32" s="194" t="n">
        <v>80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450">
        <f>G4+G6+G7+80</f>
        <v/>
      </c>
      <c r="H33" s="450">
        <f>H4+H6+H7+80</f>
        <v/>
      </c>
      <c r="I33" s="37" t="inlineStr">
        <is>
          <t>/</t>
        </is>
      </c>
      <c r="J33" s="450">
        <f>J4+J6+J7+80</f>
        <v/>
      </c>
      <c r="K33" s="37" t="inlineStr">
        <is>
          <t>/</t>
        </is>
      </c>
      <c r="L33" s="182" t="n">
        <v>2.65</v>
      </c>
      <c r="M33" s="194" t="n">
        <v>80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196" t="n"/>
      <c r="H34" s="129" t="n"/>
      <c r="I34" s="456" t="n"/>
      <c r="J34" s="129" t="n"/>
      <c r="K34" s="513" t="n"/>
      <c r="L34" s="197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198" t="n"/>
      <c r="H35" s="160" t="n"/>
      <c r="I35" s="456" t="n"/>
      <c r="J35" s="160" t="n"/>
      <c r="K35" s="513" t="n"/>
      <c r="L35" s="197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44" t="n"/>
      <c r="H36" s="514" t="n"/>
      <c r="I36" s="514" t="n"/>
      <c r="J36" s="514" t="n"/>
      <c r="K36" s="419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4" t="n"/>
      <c r="H37" s="514" t="n"/>
      <c r="I37" s="514" t="n"/>
      <c r="J37" s="514" t="n"/>
      <c r="K37" s="419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4" t="n"/>
      <c r="H38" s="514" t="n"/>
      <c r="I38" s="514" t="n"/>
      <c r="J38" s="514" t="n"/>
      <c r="K38" s="419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4" t="n"/>
      <c r="H39" s="514" t="n"/>
      <c r="I39" s="514" t="n"/>
      <c r="J39" s="514" t="n"/>
      <c r="K39" s="419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4" t="n"/>
      <c r="H40" s="514" t="n"/>
      <c r="I40" s="514" t="n"/>
      <c r="J40" s="514" t="n"/>
      <c r="K40" s="419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4" t="n"/>
      <c r="H41" s="514" t="n"/>
      <c r="I41" s="514" t="n"/>
      <c r="J41" s="514" t="n"/>
      <c r="K41" s="419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4" t="n"/>
      <c r="H42" s="514" t="n"/>
      <c r="I42" s="514" t="n"/>
      <c r="J42" s="514" t="n"/>
      <c r="K42" s="419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4" t="n"/>
      <c r="H43" s="514" t="n"/>
      <c r="I43" s="514" t="n"/>
      <c r="J43" s="514" t="n"/>
      <c r="K43" s="419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4" t="n"/>
      <c r="H44" s="514" t="n"/>
      <c r="I44" s="514" t="n"/>
      <c r="J44" s="514" t="n"/>
      <c r="K44" s="419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4" t="n"/>
      <c r="H45" s="514" t="n"/>
      <c r="I45" s="514" t="n"/>
      <c r="J45" s="514" t="n"/>
      <c r="K45" s="419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4" t="n"/>
      <c r="H46" s="514" t="n"/>
      <c r="I46" s="514" t="n"/>
      <c r="J46" s="514" t="n"/>
      <c r="K46" s="419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4" t="n"/>
      <c r="H47" s="514" t="n"/>
      <c r="I47" s="514" t="n"/>
      <c r="J47" s="514" t="n"/>
      <c r="K47" s="419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4" t="n"/>
      <c r="H48" s="514" t="n"/>
      <c r="I48" s="514" t="n"/>
      <c r="J48" s="514" t="n"/>
      <c r="K48" s="419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4" t="n"/>
      <c r="H49" s="514" t="n"/>
      <c r="I49" s="514" t="n"/>
      <c r="J49" s="514" t="n"/>
      <c r="K49" s="419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4" t="n"/>
      <c r="H50" s="514" t="n"/>
      <c r="I50" s="514" t="n"/>
      <c r="J50" s="514" t="n"/>
      <c r="K50" s="419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4" t="n"/>
      <c r="H51" s="514" t="n"/>
      <c r="I51" s="514" t="n"/>
      <c r="J51" s="514" t="n"/>
      <c r="K51" s="419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4" t="n"/>
      <c r="H52" s="514" t="n"/>
      <c r="I52" s="514" t="n"/>
      <c r="J52" s="514" t="n"/>
      <c r="K52" s="419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4" t="n"/>
      <c r="H53" s="514" t="n"/>
      <c r="I53" s="514" t="n"/>
      <c r="J53" s="514" t="n"/>
      <c r="K53" s="419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4" t="n"/>
      <c r="H54" s="514" t="n"/>
      <c r="I54" s="514" t="n"/>
      <c r="J54" s="514" t="n"/>
      <c r="K54" s="419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4" t="n"/>
      <c r="H55" s="514" t="n"/>
      <c r="I55" s="514" t="n"/>
      <c r="J55" s="514" t="n"/>
      <c r="K55" s="419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4" t="n"/>
      <c r="H56" s="514" t="n"/>
      <c r="I56" s="514" t="n"/>
      <c r="J56" s="514" t="n"/>
      <c r="K56" s="419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4" t="n"/>
      <c r="H57" s="514" t="n"/>
      <c r="I57" s="514" t="n"/>
      <c r="J57" s="514" t="n"/>
      <c r="K57" s="419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4" t="n"/>
      <c r="H58" s="514" t="n"/>
      <c r="I58" s="514" t="n"/>
      <c r="J58" s="514" t="n"/>
      <c r="K58" s="419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4" t="n"/>
      <c r="H59" s="514" t="n"/>
      <c r="I59" s="514" t="n"/>
      <c r="J59" s="514" t="n"/>
      <c r="K59" s="419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4" t="n"/>
      <c r="H60" s="514" t="n"/>
      <c r="I60" s="514" t="n"/>
      <c r="J60" s="514" t="n"/>
      <c r="K60" s="419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4" t="n"/>
      <c r="H61" s="514" t="n"/>
      <c r="I61" s="514" t="n"/>
      <c r="J61" s="514" t="n"/>
      <c r="K61" s="419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4" t="n"/>
      <c r="H62" s="514" t="n"/>
      <c r="I62" s="514" t="n"/>
      <c r="J62" s="514" t="n"/>
      <c r="K62" s="419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4" t="n"/>
      <c r="H63" s="514" t="n"/>
      <c r="I63" s="514" t="n"/>
      <c r="J63" s="514" t="n"/>
      <c r="K63" s="419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4" t="n"/>
      <c r="H64" s="514" t="n"/>
      <c r="I64" s="514" t="n"/>
      <c r="J64" s="514" t="n"/>
      <c r="K64" s="419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4" t="n"/>
      <c r="H65" s="514" t="n"/>
      <c r="I65" s="514" t="n"/>
      <c r="J65" s="514" t="n"/>
      <c r="K65" s="419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4" t="n"/>
      <c r="H66" s="514" t="n"/>
      <c r="I66" s="514" t="n"/>
      <c r="J66" s="514" t="n"/>
      <c r="K66" s="419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4" t="n"/>
      <c r="H67" s="514" t="n"/>
      <c r="I67" s="514" t="n"/>
      <c r="J67" s="514" t="n"/>
      <c r="K67" s="419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4" t="n"/>
      <c r="H68" s="514" t="n"/>
      <c r="I68" s="514" t="n"/>
      <c r="J68" s="514" t="n"/>
      <c r="K68" s="419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4" t="n"/>
      <c r="H69" s="514" t="n"/>
      <c r="I69" s="514" t="n"/>
      <c r="J69" s="514" t="n"/>
      <c r="K69" s="419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4" t="n"/>
      <c r="H70" s="514" t="n"/>
      <c r="I70" s="514" t="n"/>
      <c r="J70" s="514" t="n"/>
      <c r="K70" s="419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4" t="n"/>
      <c r="H71" s="514" t="n"/>
      <c r="I71" s="514" t="n"/>
      <c r="J71" s="514" t="n"/>
      <c r="K71" s="419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4" t="n"/>
      <c r="H72" s="514" t="n"/>
      <c r="I72" s="514" t="n"/>
      <c r="J72" s="514" t="n"/>
      <c r="K72" s="419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4" t="n"/>
      <c r="H73" s="514" t="n"/>
      <c r="I73" s="514" t="n"/>
      <c r="J73" s="514" t="n"/>
      <c r="K73" s="419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4" t="n"/>
      <c r="H74" s="514" t="n"/>
      <c r="I74" s="514" t="n"/>
      <c r="J74" s="514" t="n"/>
      <c r="K74" s="419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4" t="n"/>
      <c r="H75" s="514" t="n"/>
      <c r="I75" s="514" t="n"/>
      <c r="J75" s="514" t="n"/>
      <c r="K75" s="419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4" t="n"/>
      <c r="H76" s="514" t="n"/>
      <c r="I76" s="514" t="n"/>
      <c r="J76" s="514" t="n"/>
      <c r="K76" s="419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199" t="n"/>
      <c r="H77" s="514" t="n"/>
      <c r="I77" s="514" t="n"/>
      <c r="J77" s="514" t="n"/>
      <c r="K77" s="419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199" t="n"/>
      <c r="H78" s="514" t="n"/>
      <c r="I78" s="514" t="n"/>
      <c r="J78" s="514" t="n"/>
      <c r="K78" s="419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199" t="n"/>
      <c r="H79" s="514" t="n"/>
      <c r="I79" s="514" t="n"/>
      <c r="J79" s="514" t="n"/>
      <c r="K79" s="419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199" t="n"/>
      <c r="H80" s="514" t="n"/>
      <c r="I80" s="514" t="n"/>
      <c r="J80" s="514" t="n"/>
      <c r="K80" s="419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199" t="n"/>
      <c r="H81" s="514" t="n"/>
      <c r="I81" s="514" t="n"/>
      <c r="J81" s="514" t="n"/>
      <c r="K81" s="419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199" t="n"/>
      <c r="H82" s="514" t="n"/>
      <c r="I82" s="514" t="n"/>
      <c r="J82" s="514" t="n"/>
      <c r="K82" s="419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199" t="n"/>
      <c r="H83" s="514" t="n"/>
      <c r="I83" s="514" t="n"/>
      <c r="J83" s="514" t="n"/>
      <c r="K83" s="419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199" t="n"/>
      <c r="H84" s="514" t="n"/>
      <c r="I84" s="514" t="n"/>
      <c r="J84" s="514" t="n"/>
      <c r="K84" s="419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199" t="n"/>
      <c r="H85" s="514" t="n"/>
      <c r="I85" s="514" t="n"/>
      <c r="J85" s="514" t="n"/>
      <c r="K85" s="419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199" t="n"/>
      <c r="H86" s="514" t="n"/>
      <c r="I86" s="514" t="n"/>
      <c r="J86" s="514" t="n"/>
      <c r="K86" s="419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199" t="n"/>
      <c r="H87" s="514" t="n"/>
      <c r="I87" s="514" t="n"/>
      <c r="J87" s="514" t="n"/>
      <c r="K87" s="419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199" t="n"/>
      <c r="H88" s="514" t="n"/>
      <c r="I88" s="514" t="n"/>
      <c r="J88" s="514" t="n"/>
      <c r="K88" s="419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199" t="n"/>
      <c r="H89" s="514" t="n"/>
      <c r="I89" s="514" t="n"/>
      <c r="J89" s="514" t="n"/>
      <c r="K89" s="419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199" t="n"/>
      <c r="H90" s="514" t="n"/>
      <c r="I90" s="514" t="n"/>
      <c r="J90" s="514" t="n"/>
      <c r="K90" s="419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199" t="n"/>
      <c r="H91" s="514" t="n"/>
      <c r="I91" s="514" t="n"/>
      <c r="J91" s="514" t="n"/>
      <c r="K91" s="419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199" t="n"/>
      <c r="H92" s="514" t="n"/>
      <c r="I92" s="514" t="n"/>
      <c r="J92" s="514" t="n"/>
      <c r="K92" s="419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199" t="n"/>
      <c r="H93" s="514" t="n"/>
      <c r="I93" s="514" t="n"/>
      <c r="J93" s="514" t="n"/>
      <c r="K93" s="419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199" t="n"/>
      <c r="H94" s="514" t="n"/>
      <c r="I94" s="514" t="n"/>
      <c r="J94" s="514" t="n"/>
      <c r="K94" s="419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199" t="n"/>
      <c r="H95" s="514" t="n"/>
      <c r="I95" s="514" t="n"/>
      <c r="J95" s="514" t="n"/>
      <c r="K95" s="419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199" t="n"/>
      <c r="H96" s="514" t="n"/>
      <c r="I96" s="514" t="n"/>
      <c r="J96" s="514" t="n"/>
      <c r="K96" s="419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199" t="n"/>
      <c r="H97" s="514" t="n"/>
      <c r="I97" s="514" t="n"/>
      <c r="J97" s="514" t="n"/>
      <c r="K97" s="419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199" t="n"/>
      <c r="H98" s="514" t="n"/>
      <c r="I98" s="514" t="n"/>
      <c r="J98" s="514" t="n"/>
      <c r="K98" s="419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199" t="n"/>
      <c r="H99" s="514" t="n"/>
      <c r="I99" s="514" t="n"/>
      <c r="J99" s="514" t="n"/>
      <c r="K99" s="419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199" t="n"/>
      <c r="H100" s="514" t="n"/>
      <c r="I100" s="514" t="n"/>
      <c r="J100" s="514" t="n"/>
      <c r="K100" s="419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199" t="n"/>
      <c r="H101" s="514" t="n"/>
      <c r="I101" s="514" t="n"/>
      <c r="J101" s="514" t="n"/>
      <c r="K101" s="419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199" t="n"/>
      <c r="H102" s="514" t="n"/>
      <c r="I102" s="514" t="n"/>
      <c r="J102" s="514" t="n"/>
      <c r="K102" s="419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199" t="n"/>
      <c r="H103" s="514" t="n"/>
      <c r="I103" s="514" t="n"/>
      <c r="J103" s="514" t="n"/>
      <c r="K103" s="419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199" t="n"/>
      <c r="H104" s="514" t="n"/>
      <c r="I104" s="514" t="n"/>
      <c r="J104" s="514" t="n"/>
      <c r="K104" s="419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199" t="n"/>
      <c r="H105" s="514" t="n"/>
      <c r="I105" s="514" t="n"/>
      <c r="J105" s="514" t="n"/>
      <c r="K105" s="419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199" t="n"/>
      <c r="H106" s="514" t="n"/>
      <c r="I106" s="514" t="n"/>
      <c r="J106" s="514" t="n"/>
      <c r="K106" s="419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199" t="n"/>
      <c r="H107" s="514" t="n"/>
      <c r="I107" s="514" t="n"/>
      <c r="J107" s="514" t="n"/>
      <c r="K107" s="419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199" t="n"/>
      <c r="H108" s="514" t="n"/>
      <c r="I108" s="514" t="n"/>
      <c r="J108" s="514" t="n"/>
      <c r="K108" s="419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199" t="n"/>
      <c r="H109" s="514" t="n"/>
      <c r="I109" s="514" t="n"/>
      <c r="J109" s="514" t="n"/>
      <c r="K109" s="419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199" t="n"/>
      <c r="H110" s="514" t="n"/>
      <c r="I110" s="514" t="n"/>
      <c r="J110" s="514" t="n"/>
      <c r="K110" s="419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199" t="n"/>
      <c r="H111" s="514" t="n"/>
      <c r="I111" s="514" t="n"/>
      <c r="J111" s="514" t="n"/>
      <c r="K111" s="419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199" t="n"/>
      <c r="H112" s="514" t="n"/>
      <c r="I112" s="514" t="n"/>
      <c r="J112" s="514" t="n"/>
      <c r="K112" s="419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199" t="n"/>
      <c r="H113" s="514" t="n"/>
      <c r="I113" s="514" t="n"/>
      <c r="J113" s="514" t="n"/>
      <c r="K113" s="419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199" t="n"/>
      <c r="H114" s="514" t="n"/>
      <c r="I114" s="514" t="n"/>
      <c r="J114" s="514" t="n"/>
      <c r="K114" s="419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199" t="n"/>
      <c r="H115" s="514" t="n"/>
      <c r="I115" s="514" t="n"/>
      <c r="J115" s="514" t="n"/>
      <c r="K115" s="419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199" t="n"/>
      <c r="H116" s="514" t="n"/>
      <c r="I116" s="514" t="n"/>
      <c r="J116" s="514" t="n"/>
      <c r="K116" s="419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199" t="n"/>
      <c r="H117" s="514" t="n"/>
      <c r="I117" s="514" t="n"/>
      <c r="J117" s="514" t="n"/>
      <c r="K117" s="419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199" t="n"/>
      <c r="H118" s="514" t="n"/>
      <c r="I118" s="514" t="n"/>
      <c r="J118" s="514" t="n"/>
      <c r="K118" s="419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199" t="n"/>
      <c r="H119" s="514" t="n"/>
      <c r="I119" s="514" t="n"/>
      <c r="J119" s="514" t="n"/>
      <c r="K119" s="419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199" t="n"/>
      <c r="H120" s="514" t="n"/>
      <c r="I120" s="514" t="n"/>
      <c r="J120" s="514" t="n"/>
      <c r="K120" s="419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199" t="n"/>
      <c r="H121" s="514" t="n"/>
      <c r="I121" s="514" t="n"/>
      <c r="J121" s="514" t="n"/>
      <c r="K121" s="419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199" t="n"/>
      <c r="H122" s="514" t="n"/>
      <c r="I122" s="514" t="n"/>
      <c r="J122" s="514" t="n"/>
      <c r="K122" s="419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199" t="n"/>
      <c r="H123" s="514" t="n"/>
      <c r="I123" s="514" t="n"/>
      <c r="J123" s="514" t="n"/>
      <c r="K123" s="419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199" t="n"/>
      <c r="H124" s="514" t="n"/>
      <c r="I124" s="514" t="n"/>
      <c r="J124" s="514" t="n"/>
      <c r="K124" s="419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199" t="n"/>
      <c r="H125" s="514" t="n"/>
      <c r="I125" s="514" t="n"/>
      <c r="J125" s="514" t="n"/>
      <c r="K125" s="419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199" t="n"/>
      <c r="H126" s="514" t="n"/>
      <c r="I126" s="514" t="n"/>
      <c r="J126" s="514" t="n"/>
      <c r="K126" s="419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199" t="n"/>
      <c r="H127" s="514" t="n"/>
      <c r="I127" s="514" t="n"/>
      <c r="J127" s="514" t="n"/>
      <c r="K127" s="419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199" t="n"/>
      <c r="H128" s="514" t="n"/>
      <c r="I128" s="514" t="n"/>
      <c r="J128" s="514" t="n"/>
      <c r="K128" s="419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199" t="n"/>
      <c r="H129" s="514" t="n"/>
      <c r="I129" s="514" t="n"/>
      <c r="J129" s="514" t="n"/>
      <c r="K129" s="419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199" t="n"/>
      <c r="H130" s="514" t="n"/>
      <c r="I130" s="514" t="n"/>
      <c r="J130" s="514" t="n"/>
      <c r="K130" s="419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199" t="n"/>
      <c r="H131" s="514" t="n"/>
      <c r="I131" s="514" t="n"/>
      <c r="J131" s="514" t="n"/>
      <c r="K131" s="419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199" t="n"/>
      <c r="H132" s="514" t="n"/>
      <c r="I132" s="514" t="n"/>
      <c r="J132" s="514" t="n"/>
      <c r="K132" s="419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199" t="n"/>
      <c r="H133" s="514" t="n"/>
      <c r="I133" s="514" t="n"/>
      <c r="J133" s="514" t="n"/>
      <c r="K133" s="419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199" t="n"/>
      <c r="H134" s="514" t="n"/>
      <c r="I134" s="514" t="n"/>
      <c r="J134" s="514" t="n"/>
      <c r="K134" s="419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199" t="n"/>
      <c r="H135" s="514" t="n"/>
      <c r="I135" s="514" t="n"/>
      <c r="J135" s="514" t="n"/>
      <c r="K135" s="419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199" t="n"/>
      <c r="H136" s="514" t="n"/>
      <c r="I136" s="514" t="n"/>
      <c r="J136" s="514" t="n"/>
      <c r="K136" s="419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199" t="n"/>
      <c r="H137" s="514" t="n"/>
      <c r="I137" s="514" t="n"/>
      <c r="J137" s="514" t="n"/>
      <c r="K137" s="419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199" t="n"/>
      <c r="H138" s="514" t="n"/>
      <c r="I138" s="514" t="n"/>
      <c r="J138" s="514" t="n"/>
      <c r="K138" s="419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199" t="n"/>
      <c r="H139" s="514" t="n"/>
      <c r="I139" s="514" t="n"/>
      <c r="J139" s="514" t="n"/>
      <c r="K139" s="419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199" t="n"/>
      <c r="H140" s="514" t="n"/>
      <c r="I140" s="514" t="n"/>
      <c r="J140" s="514" t="n"/>
      <c r="K140" s="419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199" t="n"/>
      <c r="H141" s="514" t="n"/>
      <c r="I141" s="514" t="n"/>
      <c r="J141" s="514" t="n"/>
      <c r="K141" s="419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199" t="n"/>
      <c r="H142" s="514" t="n"/>
      <c r="I142" s="514" t="n"/>
      <c r="J142" s="514" t="n"/>
      <c r="K142" s="419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199" t="n"/>
      <c r="H143" s="514" t="n"/>
      <c r="I143" s="514" t="n"/>
      <c r="J143" s="514" t="n"/>
      <c r="K143" s="419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199" t="n"/>
      <c r="H144" s="514" t="n"/>
      <c r="I144" s="514" t="n"/>
      <c r="J144" s="514" t="n"/>
      <c r="K144" s="419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199" t="n"/>
      <c r="H145" s="514" t="n"/>
      <c r="I145" s="514" t="n"/>
      <c r="J145" s="514" t="n"/>
      <c r="K145" s="419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199" t="n"/>
      <c r="H146" s="514" t="n"/>
      <c r="I146" s="514" t="n"/>
      <c r="J146" s="514" t="n"/>
      <c r="K146" s="419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199" t="n"/>
      <c r="H147" s="514" t="n"/>
      <c r="I147" s="514" t="n"/>
      <c r="J147" s="514" t="n"/>
      <c r="K147" s="419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199" t="n"/>
      <c r="H148" s="514" t="n"/>
      <c r="I148" s="514" t="n"/>
      <c r="J148" s="514" t="n"/>
      <c r="K148" s="419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199" t="n"/>
      <c r="H149" s="514" t="n"/>
      <c r="I149" s="514" t="n"/>
      <c r="J149" s="514" t="n"/>
      <c r="K149" s="419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199" t="n"/>
      <c r="H150" s="514" t="n"/>
      <c r="I150" s="514" t="n"/>
      <c r="J150" s="514" t="n"/>
      <c r="K150" s="419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199" t="n"/>
      <c r="H151" s="514" t="n"/>
      <c r="I151" s="514" t="n"/>
      <c r="J151" s="514" t="n"/>
      <c r="K151" s="419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199" t="n"/>
      <c r="H152" s="514" t="n"/>
      <c r="I152" s="514" t="n"/>
      <c r="J152" s="514" t="n"/>
      <c r="K152" s="419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199" t="n"/>
      <c r="H153" s="514" t="n"/>
      <c r="I153" s="514" t="n"/>
      <c r="J153" s="514" t="n"/>
      <c r="K153" s="419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199" t="n"/>
      <c r="H154" s="514" t="n"/>
      <c r="I154" s="514" t="n"/>
      <c r="J154" s="514" t="n"/>
      <c r="K154" s="419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199" t="n"/>
      <c r="H155" s="514" t="n"/>
      <c r="I155" s="514" t="n"/>
      <c r="J155" s="514" t="n"/>
      <c r="K155" s="419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199" t="n"/>
      <c r="H156" s="514" t="n"/>
      <c r="I156" s="514" t="n"/>
      <c r="J156" s="514" t="n"/>
      <c r="K156" s="419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199" t="n"/>
      <c r="H157" s="514" t="n"/>
      <c r="I157" s="514" t="n"/>
      <c r="J157" s="514" t="n"/>
      <c r="K157" s="419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199" t="n"/>
      <c r="H158" s="514" t="n"/>
      <c r="I158" s="514" t="n"/>
      <c r="J158" s="514" t="n"/>
      <c r="K158" s="419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199" t="n"/>
      <c r="H159" s="514" t="n"/>
      <c r="I159" s="514" t="n"/>
      <c r="J159" s="514" t="n"/>
      <c r="K159" s="419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199" t="n"/>
      <c r="H160" s="514" t="n"/>
      <c r="I160" s="514" t="n"/>
      <c r="J160" s="514" t="n"/>
      <c r="K160" s="419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199" t="n"/>
      <c r="H161" s="514" t="n"/>
      <c r="I161" s="514" t="n"/>
      <c r="J161" s="514" t="n"/>
      <c r="K161" s="419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199" t="n"/>
      <c r="H162" s="514" t="n"/>
      <c r="I162" s="514" t="n"/>
      <c r="J162" s="514" t="n"/>
      <c r="K162" s="419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199" t="n"/>
      <c r="H163" s="514" t="n"/>
      <c r="I163" s="514" t="n"/>
      <c r="J163" s="514" t="n"/>
      <c r="K163" s="419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199" t="n"/>
      <c r="H164" s="514" t="n"/>
      <c r="I164" s="514" t="n"/>
      <c r="J164" s="514" t="n"/>
      <c r="K164" s="419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199" t="n"/>
      <c r="H165" s="514" t="n"/>
      <c r="I165" s="514" t="n"/>
      <c r="J165" s="514" t="n"/>
      <c r="K165" s="419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199" t="n"/>
      <c r="H166" s="514" t="n"/>
      <c r="I166" s="514" t="n"/>
      <c r="J166" s="514" t="n"/>
      <c r="K166" s="419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199" t="n"/>
      <c r="H167" s="514" t="n"/>
      <c r="I167" s="514" t="n"/>
      <c r="J167" s="514" t="n"/>
      <c r="K167" s="419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199" t="n"/>
      <c r="H168" s="514" t="n"/>
      <c r="I168" s="514" t="n"/>
      <c r="J168" s="514" t="n"/>
      <c r="K168" s="419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199" t="n"/>
      <c r="H169" s="514" t="n"/>
      <c r="I169" s="514" t="n"/>
      <c r="J169" s="514" t="n"/>
      <c r="K169" s="419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199" t="n"/>
      <c r="H170" s="514" t="n"/>
      <c r="I170" s="514" t="n"/>
      <c r="J170" s="514" t="n"/>
      <c r="K170" s="419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199" t="n"/>
      <c r="H171" s="514" t="n"/>
      <c r="I171" s="514" t="n"/>
      <c r="J171" s="514" t="n"/>
      <c r="K171" s="419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199" t="n"/>
      <c r="H172" s="514" t="n"/>
      <c r="I172" s="514" t="n"/>
      <c r="J172" s="514" t="n"/>
      <c r="K172" s="419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199" t="n"/>
      <c r="H173" s="514" t="n"/>
      <c r="I173" s="514" t="n"/>
      <c r="J173" s="514" t="n"/>
      <c r="K173" s="419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199" t="n"/>
      <c r="H174" s="514" t="n"/>
      <c r="I174" s="514" t="n"/>
      <c r="J174" s="514" t="n"/>
      <c r="K174" s="419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199" t="n"/>
      <c r="H175" s="514" t="n"/>
      <c r="I175" s="514" t="n"/>
      <c r="J175" s="514" t="n"/>
      <c r="K175" s="419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199" t="n"/>
      <c r="H176" s="514" t="n"/>
      <c r="I176" s="514" t="n"/>
      <c r="J176" s="514" t="n"/>
      <c r="K176" s="419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199" t="n"/>
      <c r="H177" s="514" t="n"/>
      <c r="I177" s="514" t="n"/>
      <c r="J177" s="514" t="n"/>
      <c r="K177" s="419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199" t="n"/>
      <c r="H178" s="514" t="n"/>
      <c r="I178" s="514" t="n"/>
      <c r="J178" s="514" t="n"/>
      <c r="K178" s="419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199" t="n"/>
      <c r="H179" s="514" t="n"/>
      <c r="I179" s="514" t="n"/>
      <c r="J179" s="514" t="n"/>
      <c r="K179" s="419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199" t="n"/>
      <c r="H180" s="514" t="n"/>
      <c r="I180" s="514" t="n"/>
      <c r="J180" s="514" t="n"/>
      <c r="K180" s="419" t="n"/>
      <c r="L180" s="419" t="n"/>
      <c r="M180" s="419" t="n"/>
      <c r="N180" s="419" t="n"/>
    </row>
    <row r="181">
      <c r="G181" s="200" t="n"/>
      <c r="H181" s="514" t="n"/>
      <c r="I181" s="514" t="n"/>
      <c r="J181" s="514" t="n"/>
      <c r="K181" s="419" t="n"/>
      <c r="L181" s="419" t="n"/>
      <c r="M181" s="419" t="n"/>
      <c r="N181" s="419" t="n"/>
    </row>
    <row r="182">
      <c r="G182" s="200" t="n"/>
      <c r="H182" s="514" t="n"/>
      <c r="I182" s="514" t="n"/>
      <c r="J182" s="514" t="n"/>
      <c r="K182" s="419" t="n"/>
      <c r="L182" s="419" t="n"/>
      <c r="M182" s="419" t="n"/>
      <c r="N182" s="419" t="n"/>
    </row>
    <row r="183">
      <c r="G183" s="200" t="n"/>
      <c r="H183" s="514" t="n"/>
      <c r="I183" s="514" t="n"/>
      <c r="J183" s="514" t="n"/>
      <c r="K183" s="419" t="n"/>
      <c r="L183" s="419" t="n"/>
      <c r="M183" s="419" t="n"/>
      <c r="N183" s="419" t="n"/>
    </row>
    <row r="184">
      <c r="G184" s="200" t="n"/>
      <c r="H184" s="514" t="n"/>
      <c r="I184" s="514" t="n"/>
      <c r="J184" s="514" t="n"/>
      <c r="K184" s="419" t="n"/>
      <c r="L184" s="419" t="n"/>
      <c r="M184" s="419" t="n"/>
      <c r="N184" s="419" t="n"/>
    </row>
    <row r="185">
      <c r="G185" s="200" t="n"/>
      <c r="H185" s="514" t="n"/>
      <c r="I185" s="514" t="n"/>
      <c r="J185" s="514" t="n"/>
      <c r="K185" s="419" t="n"/>
      <c r="L185" s="419" t="n"/>
      <c r="M185" s="419" t="n"/>
      <c r="N185" s="419" t="n"/>
    </row>
    <row r="186">
      <c r="G186" s="200" t="n"/>
      <c r="H186" s="514" t="n"/>
      <c r="I186" s="514" t="n"/>
      <c r="J186" s="514" t="n"/>
      <c r="K186" s="419" t="n"/>
      <c r="L186" s="419" t="n"/>
      <c r="M186" s="419" t="n"/>
      <c r="N186" s="419" t="n"/>
    </row>
    <row r="187">
      <c r="G187" s="200" t="n"/>
      <c r="H187" s="514" t="n"/>
      <c r="I187" s="514" t="n"/>
      <c r="J187" s="514" t="n"/>
      <c r="K187" s="419" t="n"/>
      <c r="L187" s="419" t="n"/>
      <c r="M187" s="419" t="n"/>
      <c r="N187" s="419" t="n"/>
    </row>
    <row r="188">
      <c r="G188" s="200" t="n"/>
      <c r="H188" s="514" t="n"/>
      <c r="I188" s="514" t="n"/>
      <c r="J188" s="514" t="n"/>
      <c r="K188" s="419" t="n"/>
      <c r="L188" s="419" t="n"/>
      <c r="M188" s="419" t="n"/>
      <c r="N188" s="419" t="n"/>
    </row>
    <row r="189">
      <c r="G189" s="200" t="n"/>
      <c r="H189" s="514" t="n"/>
      <c r="I189" s="514" t="n"/>
      <c r="J189" s="514" t="n"/>
      <c r="K189" s="419" t="n"/>
      <c r="L189" s="419" t="n"/>
      <c r="M189" s="419" t="n"/>
      <c r="N189" s="419" t="n"/>
    </row>
    <row r="190">
      <c r="G190" s="200" t="n"/>
      <c r="H190" s="514" t="n"/>
      <c r="I190" s="514" t="n"/>
      <c r="J190" s="514" t="n"/>
      <c r="K190" s="419" t="n"/>
      <c r="L190" s="419" t="n"/>
      <c r="M190" s="419" t="n"/>
      <c r="N190" s="419" t="n"/>
    </row>
    <row r="191">
      <c r="G191" s="200" t="n"/>
      <c r="H191" s="514" t="n"/>
      <c r="I191" s="514" t="n"/>
      <c r="J191" s="514" t="n"/>
      <c r="K191" s="419" t="n"/>
      <c r="L191" s="419" t="n"/>
      <c r="M191" s="419" t="n"/>
      <c r="N191" s="419" t="n"/>
    </row>
    <row r="192">
      <c r="G192" s="200" t="n"/>
      <c r="H192" s="514" t="n"/>
      <c r="I192" s="514" t="n"/>
      <c r="J192" s="514" t="n"/>
      <c r="K192" s="419" t="n"/>
      <c r="L192" s="419" t="n"/>
      <c r="M192" s="419" t="n"/>
      <c r="N192" s="419" t="n"/>
    </row>
    <row r="193">
      <c r="G193" s="200" t="n"/>
      <c r="H193" s="514" t="n"/>
      <c r="I193" s="514" t="n"/>
      <c r="J193" s="514" t="n"/>
      <c r="K193" s="419" t="n"/>
      <c r="L193" s="419" t="n"/>
      <c r="M193" s="419" t="n"/>
      <c r="N193" s="419" t="n"/>
    </row>
    <row r="194">
      <c r="G194" s="200" t="n"/>
      <c r="H194" s="514" t="n"/>
      <c r="I194" s="514" t="n"/>
      <c r="J194" s="514" t="n"/>
      <c r="K194" s="419" t="n"/>
      <c r="L194" s="419" t="n"/>
      <c r="M194" s="419" t="n"/>
      <c r="N194" s="419" t="n"/>
    </row>
    <row r="195">
      <c r="G195" s="200" t="n"/>
      <c r="H195" s="514" t="n"/>
      <c r="I195" s="514" t="n"/>
      <c r="J195" s="514" t="n"/>
      <c r="K195" s="419" t="n"/>
      <c r="L195" s="419" t="n"/>
      <c r="M195" s="419" t="n"/>
      <c r="N195" s="419" t="n"/>
    </row>
    <row r="196">
      <c r="G196" s="200" t="n"/>
      <c r="H196" s="514" t="n"/>
      <c r="I196" s="514" t="n"/>
      <c r="J196" s="514" t="n"/>
      <c r="K196" s="419" t="n"/>
      <c r="L196" s="419" t="n"/>
      <c r="M196" s="419" t="n"/>
      <c r="N196" s="419" t="n"/>
    </row>
    <row r="197">
      <c r="G197" s="200" t="n"/>
      <c r="H197" s="514" t="n"/>
      <c r="I197" s="514" t="n"/>
      <c r="J197" s="514" t="n"/>
      <c r="K197" s="419" t="n"/>
      <c r="L197" s="419" t="n"/>
      <c r="M197" s="419" t="n"/>
      <c r="N197" s="419" t="n"/>
    </row>
    <row r="198">
      <c r="G198" s="200" t="n"/>
      <c r="H198" s="514" t="n"/>
      <c r="I198" s="514" t="n"/>
      <c r="J198" s="514" t="n"/>
      <c r="K198" s="419" t="n"/>
      <c r="L198" s="419" t="n"/>
      <c r="M198" s="419" t="n"/>
      <c r="N198" s="419" t="n"/>
    </row>
    <row r="199">
      <c r="G199" s="200" t="n"/>
      <c r="H199" s="514" t="n"/>
      <c r="I199" s="514" t="n"/>
      <c r="J199" s="514" t="n"/>
      <c r="K199" s="419" t="n"/>
      <c r="L199" s="419" t="n"/>
      <c r="M199" s="419" t="n"/>
      <c r="N199" s="419" t="n"/>
    </row>
    <row r="200">
      <c r="G200" s="200" t="n"/>
      <c r="H200" s="514" t="n"/>
      <c r="I200" s="514" t="n"/>
      <c r="J200" s="514" t="n"/>
      <c r="K200" s="419" t="n"/>
      <c r="L200" s="419" t="n"/>
      <c r="M200" s="419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ColWidth="9" defaultRowHeight="13.5"/>
  <cols>
    <col width="6.5" customWidth="1" style="526" min="1" max="1"/>
    <col width="6" customWidth="1" style="526" min="2" max="2"/>
    <col width="11.25" customWidth="1" style="526" min="3" max="3"/>
    <col width="9.625" customWidth="1" style="526" min="4" max="4"/>
    <col width="11.25" customWidth="1" style="526" min="5" max="5"/>
    <col width="11.625" customWidth="1" style="526" min="6" max="6"/>
    <col width="12.875" customWidth="1" style="163" min="7" max="7"/>
    <col width="11.625" customWidth="1" style="526" min="8" max="8"/>
    <col width="7.125" customWidth="1" style="526" min="9" max="9"/>
    <col width="9" customWidth="1" style="526" min="10" max="26"/>
  </cols>
  <sheetData>
    <row r="1" ht="14.25" customHeight="1" s="527">
      <c r="A1" s="444" t="n"/>
      <c r="B1" s="444" t="n"/>
      <c r="C1" s="444" t="n"/>
      <c r="D1" s="444" t="n"/>
      <c r="E1" s="444" t="n"/>
      <c r="F1" s="441" t="inlineStr">
        <is>
          <t>其他</t>
        </is>
      </c>
      <c r="G1" s="164" t="inlineStr">
        <is>
          <t>网价[2026-04-30]</t>
        </is>
      </c>
      <c r="H1" s="165" t="inlineStr">
        <is>
          <t>报价[2026-04-24]</t>
        </is>
      </c>
      <c r="I1" s="550" t="n"/>
    </row>
    <row r="2" ht="14.25" customHeight="1" s="527">
      <c r="A2" s="89" t="inlineStr">
        <is>
          <t>钢材询价表（淮南宏泰）</t>
        </is>
      </c>
      <c r="F2" s="513" t="inlineStr">
        <is>
          <t>高线10基价</t>
        </is>
      </c>
      <c r="G2" s="13" t="inlineStr">
        <is>
          <t>/</t>
        </is>
      </c>
      <c r="H2" s="14" t="n"/>
      <c r="I2" s="14" t="inlineStr">
        <is>
          <t>/</t>
        </is>
      </c>
    </row>
    <row r="3" ht="16.5" customHeight="1" s="527">
      <c r="F3" s="513" t="inlineStr">
        <is>
          <t>盘螺10基价</t>
        </is>
      </c>
      <c r="G3" s="23" t="n">
        <v>3580</v>
      </c>
      <c r="H3" s="17" t="n">
        <v>3360</v>
      </c>
      <c r="I3" s="14" t="inlineStr">
        <is>
          <t>/</t>
        </is>
      </c>
    </row>
    <row r="4" ht="16.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3" t="n">
        <v>3420</v>
      </c>
      <c r="H4" s="17" t="n">
        <v>3180</v>
      </c>
      <c r="I4" s="14" t="inlineStr">
        <is>
          <t>/</t>
        </is>
      </c>
    </row>
    <row r="5" ht="14.25" customHeight="1" s="527">
      <c r="E5" s="533" t="n"/>
      <c r="F5" s="21" t="inlineStr">
        <is>
          <t>不开票运费</t>
        </is>
      </c>
      <c r="G5" s="166" t="n"/>
      <c r="H5" s="22" t="n"/>
      <c r="I5" s="14" t="inlineStr">
        <is>
          <t>/</t>
        </is>
      </c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>
        <v>0</v>
      </c>
      <c r="I6" s="14" t="inlineStr">
        <is>
          <t>/</t>
        </is>
      </c>
    </row>
    <row r="7" ht="14.2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4" t="inlineStr">
        <is>
          <t>/</t>
        </is>
      </c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67" t="inlineStr">
        <is>
          <t>合肥市场网价</t>
        </is>
      </c>
      <c r="H8" s="14" t="inlineStr">
        <is>
          <t>宏泰钢铁</t>
        </is>
      </c>
      <c r="I8" s="14" t="inlineStr">
        <is>
          <t>网差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 t="n"/>
      <c r="F9" s="502" t="inlineStr">
        <is>
          <t xml:space="preserve"> </t>
        </is>
      </c>
      <c r="G9" s="168" t="inlineStr">
        <is>
          <t>/</t>
        </is>
      </c>
      <c r="H9" s="14" t="inlineStr">
        <is>
          <t>/</t>
        </is>
      </c>
      <c r="I9" s="14" t="inlineStr">
        <is>
          <t>/</t>
        </is>
      </c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517" t="n"/>
      <c r="F10" s="502" t="inlineStr">
        <is>
          <t xml:space="preserve"> </t>
        </is>
      </c>
      <c r="G10" s="168" t="inlineStr">
        <is>
          <t>/</t>
        </is>
      </c>
      <c r="H10" s="14" t="inlineStr">
        <is>
          <t>/</t>
        </is>
      </c>
      <c r="I10" s="14" t="inlineStr">
        <is>
          <t>/</t>
        </is>
      </c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517" t="n"/>
      <c r="F11" s="502" t="inlineStr">
        <is>
          <t xml:space="preserve"> </t>
        </is>
      </c>
      <c r="G11" s="168" t="inlineStr">
        <is>
          <t>/</t>
        </is>
      </c>
      <c r="H11" s="14" t="inlineStr">
        <is>
          <t>/</t>
        </is>
      </c>
      <c r="I11" s="14" t="inlineStr">
        <is>
          <t>/</t>
        </is>
      </c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517" t="n"/>
      <c r="F12" s="502" t="inlineStr">
        <is>
          <t xml:space="preserve"> </t>
        </is>
      </c>
      <c r="G12" s="170">
        <f>G3+350</f>
        <v/>
      </c>
      <c r="H12" s="68">
        <f>H3+230+H6</f>
        <v/>
      </c>
      <c r="I12" s="68">
        <f>G12-H12</f>
        <v/>
      </c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517" t="n">
        <v>34</v>
      </c>
      <c r="F13" s="502" t="inlineStr">
        <is>
          <t xml:space="preserve"> </t>
        </is>
      </c>
      <c r="G13" s="171">
        <f>G3+G6+G7</f>
        <v/>
      </c>
      <c r="H13" s="22">
        <f>H3+H6+H7</f>
        <v/>
      </c>
      <c r="I13" s="68">
        <f>G13-H13</f>
        <v/>
      </c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517" t="n"/>
      <c r="F14" s="502" t="inlineStr">
        <is>
          <t xml:space="preserve"> </t>
        </is>
      </c>
      <c r="G14" s="172">
        <f>G3+G6+G7</f>
        <v/>
      </c>
      <c r="H14" s="71">
        <f>H3+H6+H7</f>
        <v/>
      </c>
      <c r="I14" s="173">
        <f>G14-H14</f>
        <v/>
      </c>
    </row>
    <row r="15" ht="14.25" customHeight="1" s="527">
      <c r="A15" s="538" t="n"/>
      <c r="B15" s="496" t="n">
        <v>12</v>
      </c>
      <c r="C15" s="496" t="n">
        <v>9</v>
      </c>
      <c r="D15" s="496" t="inlineStr">
        <is>
          <t>HRB400E</t>
        </is>
      </c>
      <c r="E15" s="517" t="n">
        <v>14</v>
      </c>
      <c r="F15" s="502" t="inlineStr">
        <is>
          <t xml:space="preserve"> </t>
        </is>
      </c>
      <c r="G15" s="23">
        <f>G4+G6+G7+140</f>
        <v/>
      </c>
      <c r="H15" s="22">
        <f>H4+H6+H7+120</f>
        <v/>
      </c>
      <c r="I15" s="68">
        <f>G15-H15</f>
        <v/>
      </c>
    </row>
    <row r="16" ht="14.25" customHeight="1" s="527">
      <c r="A16" s="538" t="n"/>
      <c r="B16" s="496" t="n">
        <v>12</v>
      </c>
      <c r="C16" s="496" t="n">
        <v>12</v>
      </c>
      <c r="D16" s="496" t="inlineStr">
        <is>
          <t>HRB400E</t>
        </is>
      </c>
      <c r="E16" s="517" t="n"/>
      <c r="F16" s="502" t="inlineStr">
        <is>
          <t xml:space="preserve"> </t>
        </is>
      </c>
      <c r="G16" s="23">
        <f>G4+G6+G7+140</f>
        <v/>
      </c>
      <c r="H16" s="22">
        <f>H4+H6+H7+120</f>
        <v/>
      </c>
      <c r="I16" s="68">
        <f>G16-H16</f>
        <v/>
      </c>
    </row>
    <row r="17" ht="14.25" customHeight="1" s="527">
      <c r="A17" s="538" t="n"/>
      <c r="B17" s="496" t="n">
        <v>14</v>
      </c>
      <c r="C17" s="496" t="n">
        <v>9</v>
      </c>
      <c r="D17" s="496" t="inlineStr">
        <is>
          <t>HRB400E</t>
        </is>
      </c>
      <c r="E17" s="517" t="n">
        <v>4</v>
      </c>
      <c r="F17" s="502" t="inlineStr">
        <is>
          <t xml:space="preserve"> </t>
        </is>
      </c>
      <c r="G17" s="23">
        <f>G4+G6+G7+60</f>
        <v/>
      </c>
      <c r="H17" s="22">
        <f>H4+H6+H7+50</f>
        <v/>
      </c>
      <c r="I17" s="68">
        <f>G17-H17</f>
        <v/>
      </c>
    </row>
    <row r="18" ht="14.25" customHeight="1" s="527">
      <c r="A18" s="538" t="n"/>
      <c r="B18" s="496" t="n">
        <v>14</v>
      </c>
      <c r="C18" s="496" t="n">
        <v>12</v>
      </c>
      <c r="D18" s="496" t="inlineStr">
        <is>
          <t>HRB400E</t>
        </is>
      </c>
      <c r="E18" s="517" t="n"/>
      <c r="F18" s="502" t="inlineStr">
        <is>
          <t xml:space="preserve"> </t>
        </is>
      </c>
      <c r="G18" s="23">
        <f>G4+G6+G7+60</f>
        <v/>
      </c>
      <c r="H18" s="22">
        <f>H4+H6+H7+50</f>
        <v/>
      </c>
      <c r="I18" s="68">
        <f>G18-H18</f>
        <v/>
      </c>
    </row>
    <row r="19" ht="14.25" customHeight="1" s="527">
      <c r="A19" s="538" t="n"/>
      <c r="B19" s="496" t="n">
        <v>16</v>
      </c>
      <c r="C19" s="496" t="n">
        <v>9</v>
      </c>
      <c r="D19" s="496" t="inlineStr">
        <is>
          <t>HRB400E</t>
        </is>
      </c>
      <c r="E19" s="517" t="n"/>
      <c r="F19" s="502" t="inlineStr">
        <is>
          <t xml:space="preserve"> </t>
        </is>
      </c>
      <c r="G19" s="23">
        <f>G4+G6+G7+50</f>
        <v/>
      </c>
      <c r="H19" s="22">
        <f>H4+H6+H7+50</f>
        <v/>
      </c>
      <c r="I19" s="68">
        <f>G19-H19</f>
        <v/>
      </c>
    </row>
    <row r="20" ht="14.25" customHeight="1" s="527">
      <c r="A20" s="538" t="n"/>
      <c r="B20" s="496" t="n">
        <v>16</v>
      </c>
      <c r="C20" s="496" t="n">
        <v>12</v>
      </c>
      <c r="D20" s="496" t="inlineStr">
        <is>
          <t>HRB400E</t>
        </is>
      </c>
      <c r="E20" s="517" t="n"/>
      <c r="F20" s="502" t="inlineStr">
        <is>
          <t xml:space="preserve"> </t>
        </is>
      </c>
      <c r="G20" s="23">
        <f>G4+G6+G7+50</f>
        <v/>
      </c>
      <c r="H20" s="22">
        <f>H4+H6+H7+50</f>
        <v/>
      </c>
      <c r="I20" s="68">
        <f>G20-H20</f>
        <v/>
      </c>
    </row>
    <row r="21" ht="14.25" customHeight="1" s="527">
      <c r="A21" s="538" t="n"/>
      <c r="B21" s="496" t="n">
        <v>18</v>
      </c>
      <c r="C21" s="496" t="n">
        <v>9</v>
      </c>
      <c r="D21" s="496" t="inlineStr">
        <is>
          <t>HRB400E</t>
        </is>
      </c>
      <c r="E21" s="517" t="n"/>
      <c r="F21" s="502" t="inlineStr">
        <is>
          <t xml:space="preserve"> </t>
        </is>
      </c>
      <c r="G21" s="174">
        <f>G4+G6+G7</f>
        <v/>
      </c>
      <c r="H21" s="71">
        <f>H4+H6+H7+50</f>
        <v/>
      </c>
      <c r="I21" s="173">
        <f>G21-H21</f>
        <v/>
      </c>
    </row>
    <row r="22" ht="14.25" customHeight="1" s="527">
      <c r="A22" s="538" t="n"/>
      <c r="B22" s="496" t="n">
        <v>18</v>
      </c>
      <c r="C22" s="496" t="n">
        <v>12</v>
      </c>
      <c r="D22" s="496" t="inlineStr">
        <is>
          <t>HRB400E</t>
        </is>
      </c>
      <c r="E22" s="517" t="n"/>
      <c r="F22" s="502" t="inlineStr">
        <is>
          <t xml:space="preserve"> </t>
        </is>
      </c>
      <c r="G22" s="174">
        <f>G4+G6+G7</f>
        <v/>
      </c>
      <c r="H22" s="71">
        <f>H4+H6+H7+50</f>
        <v/>
      </c>
      <c r="I22" s="173">
        <f>G22-H22</f>
        <v/>
      </c>
    </row>
    <row r="23" ht="14.25" customHeight="1" s="527">
      <c r="A23" s="538" t="n"/>
      <c r="B23" s="496" t="n">
        <v>20</v>
      </c>
      <c r="C23" s="496" t="n">
        <v>9</v>
      </c>
      <c r="D23" s="496" t="inlineStr">
        <is>
          <t>HRB400E</t>
        </is>
      </c>
      <c r="E23" s="517" t="n">
        <v>30</v>
      </c>
      <c r="F23" s="502" t="inlineStr">
        <is>
          <t xml:space="preserve"> </t>
        </is>
      </c>
      <c r="G23" s="23">
        <f>G4+G6+G7+50</f>
        <v/>
      </c>
      <c r="H23" s="22">
        <f>H4+H6+H7+50</f>
        <v/>
      </c>
      <c r="I23" s="68">
        <f>G23-H23</f>
        <v/>
      </c>
    </row>
    <row r="24" ht="14.25" customHeight="1" s="527">
      <c r="A24" s="538" t="n"/>
      <c r="B24" s="496" t="n">
        <v>20</v>
      </c>
      <c r="C24" s="496" t="n">
        <v>12</v>
      </c>
      <c r="D24" s="496" t="inlineStr">
        <is>
          <t>HRB400E</t>
        </is>
      </c>
      <c r="E24" s="517" t="n"/>
      <c r="F24" s="502" t="inlineStr">
        <is>
          <t xml:space="preserve"> </t>
        </is>
      </c>
      <c r="G24" s="175">
        <f>G4+G6+G7+50</f>
        <v/>
      </c>
      <c r="H24" s="22">
        <f>H4+H6+H7+50</f>
        <v/>
      </c>
      <c r="I24" s="68">
        <f>G24-H24</f>
        <v/>
      </c>
    </row>
    <row r="25" ht="14.25" customHeight="1" s="527">
      <c r="A25" s="538" t="n"/>
      <c r="B25" s="496" t="n">
        <v>22</v>
      </c>
      <c r="C25" s="496" t="n">
        <v>9</v>
      </c>
      <c r="D25" s="496" t="inlineStr">
        <is>
          <t>HRB400E</t>
        </is>
      </c>
      <c r="E25" s="517" t="n">
        <v>12</v>
      </c>
      <c r="F25" s="502" t="inlineStr">
        <is>
          <t xml:space="preserve"> </t>
        </is>
      </c>
      <c r="G25" s="23">
        <f>G4+G6+G7+50</f>
        <v/>
      </c>
      <c r="H25" s="73">
        <f>H4+H6+H7+50</f>
        <v/>
      </c>
      <c r="I25" s="68">
        <f>G25-H25</f>
        <v/>
      </c>
    </row>
    <row r="26" ht="14.25" customHeight="1" s="527">
      <c r="A26" s="538" t="n"/>
      <c r="B26" s="496" t="n">
        <v>22</v>
      </c>
      <c r="C26" s="496" t="n">
        <v>12</v>
      </c>
      <c r="D26" s="496" t="inlineStr">
        <is>
          <t>HRB400E</t>
        </is>
      </c>
      <c r="E26" s="517" t="n"/>
      <c r="F26" s="502" t="inlineStr">
        <is>
          <t xml:space="preserve"> </t>
        </is>
      </c>
      <c r="G26" s="23">
        <f>G4+G6+G7+50</f>
        <v/>
      </c>
      <c r="H26" s="73">
        <f>H4+H6+H7+50</f>
        <v/>
      </c>
      <c r="I26" s="68">
        <f>G26-H26</f>
        <v/>
      </c>
    </row>
    <row r="27" ht="14.25" customHeight="1" s="527">
      <c r="A27" s="538" t="n"/>
      <c r="B27" s="496" t="n">
        <v>25</v>
      </c>
      <c r="C27" s="496" t="n">
        <v>9</v>
      </c>
      <c r="D27" s="496" t="inlineStr">
        <is>
          <t>HRB400E</t>
        </is>
      </c>
      <c r="E27" s="517" t="n"/>
      <c r="F27" s="502" t="inlineStr">
        <is>
          <t xml:space="preserve"> </t>
        </is>
      </c>
      <c r="G27" s="23">
        <f>G4+G6+G7+60</f>
        <v/>
      </c>
      <c r="H27" s="22">
        <f>H4+H6+H7+80</f>
        <v/>
      </c>
      <c r="I27" s="68">
        <f>G27-H27</f>
        <v/>
      </c>
    </row>
    <row r="28" ht="14.25" customHeight="1" s="527">
      <c r="A28" s="538" t="n"/>
      <c r="B28" s="496" t="n">
        <v>25</v>
      </c>
      <c r="C28" s="496" t="n">
        <v>12</v>
      </c>
      <c r="D28" s="496" t="inlineStr">
        <is>
          <t>HRB400E</t>
        </is>
      </c>
      <c r="E28" s="517" t="n"/>
      <c r="F28" s="502" t="inlineStr">
        <is>
          <t xml:space="preserve"> </t>
        </is>
      </c>
      <c r="G28" s="23">
        <f>G4+G6+G7+60</f>
        <v/>
      </c>
      <c r="H28" s="22">
        <f>H4+H6+H7+80</f>
        <v/>
      </c>
      <c r="I28" s="68">
        <f>G28-H28</f>
        <v/>
      </c>
    </row>
    <row r="29" ht="14.25" customHeight="1" s="527">
      <c r="A29" s="538" t="n"/>
      <c r="B29" s="496" t="n">
        <v>28</v>
      </c>
      <c r="C29" s="496" t="n">
        <v>9</v>
      </c>
      <c r="D29" s="496" t="inlineStr">
        <is>
          <t>HRB400E</t>
        </is>
      </c>
      <c r="E29" s="517" t="n">
        <v>8</v>
      </c>
      <c r="F29" s="502" t="inlineStr">
        <is>
          <t xml:space="preserve"> </t>
        </is>
      </c>
      <c r="G29" s="168" t="inlineStr">
        <is>
          <t>/</t>
        </is>
      </c>
      <c r="H29" s="14" t="inlineStr">
        <is>
          <t>/</t>
        </is>
      </c>
      <c r="I29" s="14" t="inlineStr">
        <is>
          <t>/</t>
        </is>
      </c>
    </row>
    <row r="30" ht="14.25" customHeight="1" s="527">
      <c r="A30" s="538" t="n"/>
      <c r="B30" s="496" t="n">
        <v>28</v>
      </c>
      <c r="C30" s="496" t="n">
        <v>12</v>
      </c>
      <c r="D30" s="496" t="inlineStr">
        <is>
          <t>HRB400E</t>
        </is>
      </c>
      <c r="E30" s="517" t="n"/>
      <c r="F30" s="502" t="inlineStr">
        <is>
          <t xml:space="preserve"> </t>
        </is>
      </c>
      <c r="G30" s="168" t="inlineStr">
        <is>
          <t>/</t>
        </is>
      </c>
      <c r="H30" s="14" t="inlineStr">
        <is>
          <t>/</t>
        </is>
      </c>
      <c r="I30" s="14" t="inlineStr">
        <is>
          <t>/</t>
        </is>
      </c>
    </row>
    <row r="31" ht="14.25" customHeight="1" s="527">
      <c r="A31" s="538" t="n"/>
      <c r="B31" s="496" t="n">
        <v>32</v>
      </c>
      <c r="C31" s="496" t="n">
        <v>9</v>
      </c>
      <c r="D31" s="496" t="inlineStr">
        <is>
          <t>HRB400E</t>
        </is>
      </c>
      <c r="E31" s="517" t="n"/>
      <c r="F31" s="502" t="inlineStr">
        <is>
          <t xml:space="preserve"> </t>
        </is>
      </c>
      <c r="G31" s="168" t="inlineStr">
        <is>
          <t>/</t>
        </is>
      </c>
      <c r="H31" s="14" t="inlineStr">
        <is>
          <t>/</t>
        </is>
      </c>
      <c r="I31" s="14" t="inlineStr">
        <is>
          <t>/</t>
        </is>
      </c>
    </row>
    <row r="32" ht="14.25" customHeight="1" s="527">
      <c r="A32" s="539" t="n"/>
      <c r="B32" s="496" t="n">
        <v>32</v>
      </c>
      <c r="C32" s="496" t="n">
        <v>12</v>
      </c>
      <c r="D32" s="496" t="inlineStr">
        <is>
          <t>HRB400E</t>
        </is>
      </c>
      <c r="E32" s="517" t="n"/>
      <c r="F32" s="502" t="inlineStr">
        <is>
          <t xml:space="preserve"> </t>
        </is>
      </c>
      <c r="G32" s="168" t="inlineStr">
        <is>
          <t>/</t>
        </is>
      </c>
      <c r="H32" s="14" t="inlineStr">
        <is>
          <t>/</t>
        </is>
      </c>
      <c r="I32" s="14" t="inlineStr">
        <is>
          <t>/</t>
        </is>
      </c>
    </row>
    <row r="33" ht="29.25" customHeight="1" s="527">
      <c r="A33" s="25" t="inlineStr">
        <is>
          <t>合计（吨）</t>
        </is>
      </c>
      <c r="B33" s="531" t="n"/>
      <c r="C33" s="531" t="n"/>
      <c r="D33" s="530" t="n"/>
      <c r="E33" s="25">
        <f>SUM(E9:E32)</f>
        <v/>
      </c>
      <c r="F33" s="502" t="inlineStr">
        <is>
          <t>运费报价单位</t>
        </is>
      </c>
      <c r="G33" s="167" t="n"/>
      <c r="H33" s="45" t="n"/>
      <c r="I33" s="45" t="n"/>
    </row>
    <row r="34" ht="29.25" customHeight="1" s="527">
      <c r="A34" s="133" t="n"/>
      <c r="B34" s="133" t="n"/>
      <c r="C34" s="133" t="n"/>
      <c r="D34" s="133" t="n"/>
      <c r="E34" s="133" t="n"/>
      <c r="F34" s="450" t="inlineStr">
        <is>
          <t>不开票运费</t>
        </is>
      </c>
      <c r="G34" s="176" t="n"/>
      <c r="H34" s="48" t="n"/>
      <c r="I34" s="48" t="n"/>
    </row>
    <row r="35">
      <c r="A35" s="444" t="n"/>
      <c r="B35" s="444" t="n"/>
      <c r="C35" s="444" t="n"/>
      <c r="D35" s="444" t="n"/>
      <c r="E35" s="444" t="n"/>
      <c r="F35" s="520" t="n"/>
      <c r="G35" s="177" t="n"/>
      <c r="H35" s="520" t="n"/>
      <c r="I35" s="520" t="n"/>
    </row>
    <row r="36">
      <c r="A36" s="444" t="n"/>
      <c r="B36" s="444" t="n"/>
      <c r="C36" s="444" t="n"/>
      <c r="D36" s="444" t="n"/>
      <c r="E36" s="444" t="n"/>
      <c r="F36" s="520" t="n"/>
      <c r="G36" s="177" t="n"/>
      <c r="H36" s="520" t="n"/>
      <c r="I36" s="520" t="n"/>
    </row>
    <row r="37">
      <c r="A37" s="444" t="n"/>
      <c r="B37" s="444" t="n"/>
      <c r="C37" s="444" t="n"/>
      <c r="D37" s="444" t="n"/>
      <c r="E37" s="444" t="n"/>
      <c r="F37" s="520" t="n"/>
      <c r="G37" s="177" t="n"/>
      <c r="H37" s="520" t="n"/>
      <c r="I37" s="520" t="n"/>
    </row>
    <row r="38">
      <c r="A38" s="444" t="n"/>
      <c r="B38" s="444" t="n"/>
      <c r="C38" s="444" t="n"/>
      <c r="D38" s="444" t="n"/>
      <c r="E38" s="444" t="n"/>
      <c r="F38" s="520" t="n"/>
      <c r="G38" s="177" t="n"/>
      <c r="H38" s="520" t="n"/>
      <c r="I38" s="520" t="n"/>
    </row>
    <row r="39">
      <c r="A39" s="444" t="n"/>
      <c r="B39" s="444" t="n"/>
      <c r="C39" s="444" t="n"/>
      <c r="D39" s="444" t="n"/>
      <c r="E39" s="444" t="n"/>
      <c r="F39" s="520" t="n"/>
      <c r="G39" s="177" t="n"/>
      <c r="H39" s="520" t="n"/>
      <c r="I39" s="520" t="n"/>
    </row>
    <row r="40">
      <c r="A40" s="444" t="n"/>
      <c r="B40" s="444" t="n"/>
      <c r="C40" s="444" t="n"/>
      <c r="D40" s="444" t="n"/>
      <c r="E40" s="444" t="n"/>
      <c r="F40" s="520" t="n"/>
      <c r="G40" s="177" t="n"/>
      <c r="H40" s="520" t="n"/>
      <c r="I40" s="520" t="n"/>
    </row>
    <row r="41">
      <c r="A41" s="444" t="n"/>
      <c r="B41" s="444" t="n"/>
      <c r="C41" s="444" t="n"/>
      <c r="D41" s="444" t="n"/>
      <c r="E41" s="444" t="n"/>
      <c r="F41" s="520" t="n"/>
      <c r="G41" s="177" t="n"/>
      <c r="H41" s="520" t="n"/>
      <c r="I41" s="520" t="n"/>
    </row>
    <row r="42">
      <c r="A42" s="444" t="n"/>
      <c r="B42" s="444" t="n"/>
      <c r="C42" s="444" t="n"/>
      <c r="D42" s="444" t="n"/>
      <c r="E42" s="444" t="n"/>
      <c r="F42" s="520" t="n"/>
      <c r="G42" s="177" t="n"/>
      <c r="H42" s="520" t="n"/>
      <c r="I42" s="520" t="n"/>
    </row>
    <row r="43">
      <c r="A43" s="444" t="n"/>
      <c r="B43" s="444" t="n"/>
      <c r="C43" s="444" t="n"/>
      <c r="D43" s="444" t="n"/>
      <c r="E43" s="444" t="n"/>
      <c r="F43" s="520" t="n"/>
      <c r="G43" s="177" t="n"/>
      <c r="H43" s="520" t="n"/>
      <c r="I43" s="520" t="n"/>
    </row>
    <row r="44">
      <c r="A44" s="444" t="n"/>
      <c r="B44" s="444" t="n"/>
      <c r="C44" s="444" t="n"/>
      <c r="D44" s="444" t="n"/>
      <c r="E44" s="444" t="n"/>
      <c r="F44" s="520" t="n"/>
      <c r="G44" s="177" t="n"/>
      <c r="H44" s="520" t="n"/>
      <c r="I44" s="520" t="n"/>
    </row>
    <row r="45">
      <c r="A45" s="444" t="n"/>
      <c r="B45" s="444" t="n"/>
      <c r="C45" s="444" t="n"/>
      <c r="D45" s="444" t="n"/>
      <c r="E45" s="444" t="n"/>
      <c r="F45" s="520" t="n"/>
      <c r="G45" s="177" t="n"/>
      <c r="H45" s="520" t="n"/>
      <c r="I45" s="520" t="n"/>
    </row>
    <row r="46">
      <c r="A46" s="444" t="n"/>
      <c r="B46" s="444" t="n"/>
      <c r="C46" s="444" t="n"/>
      <c r="D46" s="444" t="n"/>
      <c r="E46" s="444" t="n"/>
      <c r="F46" s="520" t="n"/>
      <c r="G46" s="177" t="n"/>
      <c r="H46" s="520" t="n"/>
      <c r="I46" s="520" t="n"/>
    </row>
    <row r="47">
      <c r="A47" s="444" t="n"/>
      <c r="B47" s="444" t="n"/>
      <c r="C47" s="444" t="n"/>
      <c r="D47" s="444" t="n"/>
      <c r="E47" s="444" t="n"/>
      <c r="F47" s="520" t="n"/>
      <c r="G47" s="177" t="n"/>
      <c r="H47" s="520" t="n"/>
      <c r="I47" s="520" t="n"/>
    </row>
    <row r="48">
      <c r="A48" s="444" t="n"/>
      <c r="B48" s="444" t="n"/>
      <c r="C48" s="444" t="n"/>
      <c r="D48" s="444" t="n"/>
      <c r="E48" s="444" t="n"/>
      <c r="F48" s="520" t="n"/>
      <c r="G48" s="177" t="n"/>
      <c r="H48" s="520" t="n"/>
      <c r="I48" s="520" t="n"/>
    </row>
    <row r="49">
      <c r="A49" s="444" t="n"/>
      <c r="B49" s="444" t="n"/>
      <c r="C49" s="444" t="n"/>
      <c r="D49" s="444" t="n"/>
      <c r="E49" s="444" t="n"/>
      <c r="F49" s="520" t="n"/>
      <c r="G49" s="177" t="n"/>
      <c r="H49" s="520" t="n"/>
      <c r="I49" s="520" t="n"/>
    </row>
    <row r="50">
      <c r="A50" s="444" t="n"/>
      <c r="B50" s="444" t="n"/>
      <c r="C50" s="444" t="n"/>
      <c r="D50" s="444" t="n"/>
      <c r="E50" s="444" t="n"/>
      <c r="F50" s="520" t="n"/>
      <c r="G50" s="177" t="n"/>
      <c r="H50" s="520" t="n"/>
      <c r="I50" s="520" t="n"/>
    </row>
    <row r="51">
      <c r="A51" s="444" t="n"/>
      <c r="B51" s="444" t="n"/>
      <c r="C51" s="444" t="n"/>
      <c r="D51" s="444" t="n"/>
      <c r="E51" s="444" t="n"/>
      <c r="F51" s="520" t="n"/>
      <c r="G51" s="177" t="n"/>
      <c r="H51" s="520" t="n"/>
      <c r="I51" s="520" t="n"/>
    </row>
    <row r="52">
      <c r="A52" s="444" t="n"/>
      <c r="B52" s="444" t="n"/>
      <c r="C52" s="444" t="n"/>
      <c r="D52" s="444" t="n"/>
      <c r="E52" s="444" t="n"/>
      <c r="F52" s="520" t="n"/>
      <c r="G52" s="177" t="n"/>
      <c r="H52" s="520" t="n"/>
      <c r="I52" s="520" t="n"/>
    </row>
    <row r="53">
      <c r="A53" s="444" t="n"/>
      <c r="B53" s="444" t="n"/>
      <c r="C53" s="444" t="n"/>
      <c r="D53" s="444" t="n"/>
      <c r="E53" s="444" t="n"/>
      <c r="F53" s="520" t="n"/>
      <c r="G53" s="177" t="n"/>
      <c r="H53" s="520" t="n"/>
      <c r="I53" s="520" t="n"/>
    </row>
    <row r="54">
      <c r="A54" s="444" t="n"/>
      <c r="B54" s="444" t="n"/>
      <c r="C54" s="444" t="n"/>
      <c r="D54" s="444" t="n"/>
      <c r="E54" s="444" t="n"/>
      <c r="F54" s="520" t="n"/>
      <c r="G54" s="177" t="n"/>
      <c r="H54" s="520" t="n"/>
      <c r="I54" s="520" t="n"/>
    </row>
    <row r="55">
      <c r="A55" s="444" t="n"/>
      <c r="B55" s="444" t="n"/>
      <c r="C55" s="444" t="n"/>
      <c r="D55" s="444" t="n"/>
      <c r="E55" s="444" t="n"/>
      <c r="F55" s="520" t="n"/>
      <c r="G55" s="177" t="n"/>
      <c r="H55" s="520" t="n"/>
      <c r="I55" s="520" t="n"/>
    </row>
    <row r="56">
      <c r="A56" s="444" t="n"/>
      <c r="B56" s="444" t="n"/>
      <c r="C56" s="444" t="n"/>
      <c r="D56" s="444" t="n"/>
      <c r="E56" s="444" t="n"/>
      <c r="F56" s="520" t="n"/>
      <c r="G56" s="177" t="n"/>
      <c r="H56" s="520" t="n"/>
      <c r="I56" s="520" t="n"/>
    </row>
    <row r="57">
      <c r="A57" s="444" t="n"/>
      <c r="B57" s="444" t="n"/>
      <c r="C57" s="444" t="n"/>
      <c r="D57" s="444" t="n"/>
      <c r="E57" s="444" t="n"/>
      <c r="F57" s="520" t="n"/>
      <c r="G57" s="177" t="n"/>
      <c r="H57" s="520" t="n"/>
      <c r="I57" s="520" t="n"/>
    </row>
    <row r="58">
      <c r="A58" s="444" t="n"/>
      <c r="B58" s="444" t="n"/>
      <c r="C58" s="444" t="n"/>
      <c r="D58" s="444" t="n"/>
      <c r="E58" s="444" t="n"/>
      <c r="F58" s="520" t="n"/>
      <c r="G58" s="177" t="n"/>
      <c r="H58" s="520" t="n"/>
      <c r="I58" s="520" t="n"/>
    </row>
    <row r="59">
      <c r="A59" s="444" t="n"/>
      <c r="B59" s="444" t="n"/>
      <c r="C59" s="444" t="n"/>
      <c r="D59" s="444" t="n"/>
      <c r="E59" s="444" t="n"/>
      <c r="F59" s="520" t="n"/>
      <c r="G59" s="177" t="n"/>
      <c r="H59" s="520" t="n"/>
      <c r="I59" s="520" t="n"/>
    </row>
    <row r="60">
      <c r="A60" s="444" t="n"/>
      <c r="B60" s="444" t="n"/>
      <c r="C60" s="444" t="n"/>
      <c r="D60" s="444" t="n"/>
      <c r="E60" s="444" t="n"/>
      <c r="F60" s="520" t="n"/>
      <c r="G60" s="177" t="n"/>
      <c r="H60" s="520" t="n"/>
      <c r="I60" s="520" t="n"/>
    </row>
    <row r="61">
      <c r="A61" s="444" t="n"/>
      <c r="B61" s="444" t="n"/>
      <c r="C61" s="444" t="n"/>
      <c r="D61" s="444" t="n"/>
      <c r="E61" s="444" t="n"/>
      <c r="F61" s="520" t="n"/>
      <c r="G61" s="177" t="n"/>
      <c r="H61" s="520" t="n"/>
      <c r="I61" s="520" t="n"/>
    </row>
    <row r="62">
      <c r="A62" s="444" t="n"/>
      <c r="B62" s="444" t="n"/>
      <c r="C62" s="444" t="n"/>
      <c r="D62" s="444" t="n"/>
      <c r="E62" s="444" t="n"/>
      <c r="F62" s="520" t="n"/>
      <c r="G62" s="177" t="n"/>
      <c r="H62" s="520" t="n"/>
      <c r="I62" s="520" t="n"/>
    </row>
    <row r="63">
      <c r="A63" s="444" t="n"/>
      <c r="B63" s="444" t="n"/>
      <c r="C63" s="444" t="n"/>
      <c r="D63" s="444" t="n"/>
      <c r="E63" s="444" t="n"/>
      <c r="F63" s="520" t="n"/>
      <c r="G63" s="177" t="n"/>
      <c r="H63" s="520" t="n"/>
      <c r="I63" s="520" t="n"/>
    </row>
    <row r="64">
      <c r="A64" s="444" t="n"/>
      <c r="B64" s="444" t="n"/>
      <c r="C64" s="444" t="n"/>
      <c r="D64" s="444" t="n"/>
      <c r="E64" s="444" t="n"/>
      <c r="F64" s="520" t="n"/>
      <c r="G64" s="177" t="n"/>
      <c r="H64" s="520" t="n"/>
      <c r="I64" s="520" t="n"/>
    </row>
    <row r="65">
      <c r="A65" s="444" t="n"/>
      <c r="B65" s="444" t="n"/>
      <c r="C65" s="444" t="n"/>
      <c r="D65" s="444" t="n"/>
      <c r="E65" s="444" t="n"/>
      <c r="F65" s="520" t="n"/>
      <c r="G65" s="177" t="n"/>
      <c r="H65" s="520" t="n"/>
      <c r="I65" s="520" t="n"/>
    </row>
    <row r="66">
      <c r="A66" s="444" t="n"/>
      <c r="B66" s="444" t="n"/>
      <c r="C66" s="444" t="n"/>
      <c r="D66" s="444" t="n"/>
      <c r="E66" s="444" t="n"/>
      <c r="F66" s="520" t="n"/>
      <c r="G66" s="177" t="n"/>
      <c r="H66" s="520" t="n"/>
      <c r="I66" s="520" t="n"/>
    </row>
    <row r="67">
      <c r="A67" s="444" t="n"/>
      <c r="B67" s="444" t="n"/>
      <c r="C67" s="444" t="n"/>
      <c r="D67" s="444" t="n"/>
      <c r="E67" s="444" t="n"/>
      <c r="F67" s="520" t="n"/>
      <c r="G67" s="177" t="n"/>
      <c r="H67" s="520" t="n"/>
      <c r="I67" s="520" t="n"/>
    </row>
    <row r="68">
      <c r="A68" s="444" t="n"/>
      <c r="B68" s="444" t="n"/>
      <c r="C68" s="444" t="n"/>
      <c r="D68" s="444" t="n"/>
      <c r="E68" s="444" t="n"/>
      <c r="F68" s="520" t="n"/>
      <c r="G68" s="177" t="n"/>
      <c r="H68" s="520" t="n"/>
      <c r="I68" s="520" t="n"/>
    </row>
    <row r="69">
      <c r="A69" s="444" t="n"/>
      <c r="B69" s="444" t="n"/>
      <c r="C69" s="444" t="n"/>
      <c r="D69" s="444" t="n"/>
      <c r="E69" s="444" t="n"/>
      <c r="F69" s="520" t="n"/>
      <c r="G69" s="177" t="n"/>
      <c r="H69" s="520" t="n"/>
      <c r="I69" s="520" t="n"/>
    </row>
    <row r="70">
      <c r="A70" s="444" t="n"/>
      <c r="B70" s="444" t="n"/>
      <c r="C70" s="444" t="n"/>
      <c r="D70" s="444" t="n"/>
      <c r="E70" s="444" t="n"/>
      <c r="F70" s="520" t="n"/>
      <c r="G70" s="177" t="n"/>
      <c r="H70" s="520" t="n"/>
      <c r="I70" s="520" t="n"/>
    </row>
    <row r="71">
      <c r="A71" s="444" t="n"/>
      <c r="B71" s="444" t="n"/>
      <c r="C71" s="444" t="n"/>
      <c r="D71" s="444" t="n"/>
      <c r="E71" s="444" t="n"/>
      <c r="F71" s="520" t="n"/>
      <c r="G71" s="177" t="n"/>
      <c r="H71" s="520" t="n"/>
      <c r="I71" s="520" t="n"/>
    </row>
    <row r="72">
      <c r="A72" s="444" t="n"/>
      <c r="B72" s="444" t="n"/>
      <c r="C72" s="444" t="n"/>
      <c r="D72" s="444" t="n"/>
      <c r="E72" s="444" t="n"/>
      <c r="F72" s="520" t="n"/>
      <c r="G72" s="177" t="n"/>
      <c r="H72" s="520" t="n"/>
      <c r="I72" s="520" t="n"/>
    </row>
    <row r="73">
      <c r="A73" s="444" t="n"/>
      <c r="B73" s="444" t="n"/>
      <c r="C73" s="444" t="n"/>
      <c r="D73" s="444" t="n"/>
      <c r="E73" s="444" t="n"/>
      <c r="F73" s="520" t="n"/>
      <c r="G73" s="177" t="n"/>
      <c r="H73" s="520" t="n"/>
      <c r="I73" s="520" t="n"/>
    </row>
    <row r="74">
      <c r="A74" s="444" t="n"/>
      <c r="B74" s="444" t="n"/>
      <c r="C74" s="444" t="n"/>
      <c r="D74" s="444" t="n"/>
      <c r="E74" s="444" t="n"/>
      <c r="F74" s="520" t="n"/>
      <c r="G74" s="177" t="n"/>
      <c r="H74" s="520" t="n"/>
      <c r="I74" s="520" t="n"/>
    </row>
    <row r="75">
      <c r="A75" s="444" t="n"/>
      <c r="B75" s="444" t="n"/>
      <c r="C75" s="444" t="n"/>
      <c r="D75" s="444" t="n"/>
      <c r="E75" s="444" t="n"/>
      <c r="F75" s="520" t="n"/>
      <c r="G75" s="177" t="n"/>
      <c r="H75" s="520" t="n"/>
      <c r="I75" s="520" t="n"/>
    </row>
    <row r="76">
      <c r="A76" s="444" t="n"/>
      <c r="B76" s="444" t="n"/>
      <c r="C76" s="444" t="n"/>
      <c r="D76" s="444" t="n"/>
      <c r="E76" s="444" t="n"/>
      <c r="F76" s="520" t="n"/>
      <c r="G76" s="177" t="n"/>
      <c r="H76" s="520" t="n"/>
      <c r="I76" s="520" t="n"/>
    </row>
    <row r="77">
      <c r="A77" s="444" t="n"/>
      <c r="B77" s="444" t="n"/>
      <c r="C77" s="444" t="n"/>
      <c r="D77" s="444" t="n"/>
      <c r="E77" s="444" t="n"/>
      <c r="F77" s="520" t="n"/>
      <c r="G77" s="177" t="n"/>
      <c r="H77" s="520" t="n"/>
      <c r="I77" s="520" t="n"/>
    </row>
    <row r="78">
      <c r="A78" s="444" t="n"/>
      <c r="B78" s="444" t="n"/>
      <c r="C78" s="444" t="n"/>
      <c r="D78" s="444" t="n"/>
      <c r="E78" s="444" t="n"/>
      <c r="F78" s="520" t="n"/>
      <c r="G78" s="177" t="n"/>
      <c r="H78" s="520" t="n"/>
      <c r="I78" s="520" t="n"/>
    </row>
    <row r="79">
      <c r="A79" s="444" t="n"/>
      <c r="B79" s="444" t="n"/>
      <c r="C79" s="444" t="n"/>
      <c r="D79" s="444" t="n"/>
      <c r="E79" s="444" t="n"/>
      <c r="F79" s="520" t="n"/>
      <c r="G79" s="177" t="n"/>
      <c r="H79" s="520" t="n"/>
      <c r="I79" s="520" t="n"/>
    </row>
    <row r="80">
      <c r="A80" s="444" t="n"/>
      <c r="B80" s="444" t="n"/>
      <c r="C80" s="444" t="n"/>
      <c r="D80" s="444" t="n"/>
      <c r="E80" s="444" t="n"/>
      <c r="F80" s="520" t="n"/>
      <c r="G80" s="177" t="n"/>
      <c r="H80" s="520" t="n"/>
      <c r="I80" s="520" t="n"/>
    </row>
    <row r="81">
      <c r="A81" s="444" t="n"/>
      <c r="B81" s="444" t="n"/>
      <c r="C81" s="444" t="n"/>
      <c r="D81" s="444" t="n"/>
      <c r="E81" s="444" t="n"/>
      <c r="F81" s="520" t="n"/>
      <c r="G81" s="177" t="n"/>
      <c r="H81" s="520" t="n"/>
      <c r="I81" s="520" t="n"/>
    </row>
    <row r="82">
      <c r="A82" s="444" t="n"/>
      <c r="B82" s="444" t="n"/>
      <c r="C82" s="444" t="n"/>
      <c r="D82" s="444" t="n"/>
      <c r="E82" s="444" t="n"/>
      <c r="F82" s="520" t="n"/>
      <c r="G82" s="177" t="n"/>
      <c r="H82" s="520" t="n"/>
      <c r="I82" s="520" t="n"/>
    </row>
    <row r="83">
      <c r="A83" s="444" t="n"/>
      <c r="B83" s="444" t="n"/>
      <c r="C83" s="444" t="n"/>
      <c r="D83" s="444" t="n"/>
      <c r="E83" s="444" t="n"/>
      <c r="F83" s="520" t="n"/>
      <c r="G83" s="177" t="n"/>
      <c r="H83" s="520" t="n"/>
      <c r="I83" s="520" t="n"/>
    </row>
    <row r="84">
      <c r="A84" s="444" t="n"/>
      <c r="B84" s="444" t="n"/>
      <c r="C84" s="444" t="n"/>
      <c r="D84" s="444" t="n"/>
      <c r="E84" s="444" t="n"/>
      <c r="F84" s="520" t="n"/>
      <c r="G84" s="177" t="n"/>
      <c r="H84" s="520" t="n"/>
      <c r="I84" s="520" t="n"/>
    </row>
    <row r="85">
      <c r="A85" s="444" t="n"/>
      <c r="B85" s="444" t="n"/>
      <c r="C85" s="444" t="n"/>
      <c r="D85" s="444" t="n"/>
      <c r="E85" s="444" t="n"/>
      <c r="F85" s="520" t="n"/>
      <c r="G85" s="177" t="n"/>
      <c r="H85" s="520" t="n"/>
      <c r="I85" s="520" t="n"/>
    </row>
    <row r="86">
      <c r="A86" s="444" t="n"/>
      <c r="B86" s="444" t="n"/>
      <c r="C86" s="444" t="n"/>
      <c r="D86" s="444" t="n"/>
      <c r="E86" s="444" t="n"/>
      <c r="F86" s="520" t="n"/>
      <c r="G86" s="177" t="n"/>
      <c r="H86" s="520" t="n"/>
      <c r="I86" s="520" t="n"/>
    </row>
    <row r="87">
      <c r="A87" s="444" t="n"/>
      <c r="B87" s="444" t="n"/>
      <c r="C87" s="444" t="n"/>
      <c r="D87" s="444" t="n"/>
      <c r="E87" s="444" t="n"/>
      <c r="F87" s="520" t="n"/>
      <c r="G87" s="177" t="n"/>
      <c r="H87" s="520" t="n"/>
      <c r="I87" s="520" t="n"/>
    </row>
    <row r="88">
      <c r="A88" s="444" t="n"/>
      <c r="B88" s="444" t="n"/>
      <c r="C88" s="444" t="n"/>
      <c r="D88" s="444" t="n"/>
      <c r="E88" s="444" t="n"/>
      <c r="F88" s="520" t="n"/>
      <c r="G88" s="177" t="n"/>
      <c r="H88" s="520" t="n"/>
      <c r="I88" s="520" t="n"/>
    </row>
    <row r="89">
      <c r="A89" s="444" t="n"/>
      <c r="B89" s="444" t="n"/>
      <c r="C89" s="444" t="n"/>
      <c r="D89" s="444" t="n"/>
      <c r="E89" s="444" t="n"/>
      <c r="F89" s="520" t="n"/>
      <c r="G89" s="177" t="n"/>
      <c r="H89" s="520" t="n"/>
      <c r="I89" s="520" t="n"/>
    </row>
    <row r="90">
      <c r="A90" s="444" t="n"/>
      <c r="B90" s="444" t="n"/>
      <c r="C90" s="444" t="n"/>
      <c r="D90" s="444" t="n"/>
      <c r="E90" s="444" t="n"/>
      <c r="F90" s="520" t="n"/>
      <c r="G90" s="177" t="n"/>
      <c r="H90" s="520" t="n"/>
      <c r="I90" s="520" t="n"/>
    </row>
    <row r="91">
      <c r="A91" s="444" t="n"/>
      <c r="B91" s="444" t="n"/>
      <c r="C91" s="444" t="n"/>
      <c r="D91" s="444" t="n"/>
      <c r="E91" s="444" t="n"/>
      <c r="F91" s="520" t="n"/>
      <c r="G91" s="177" t="n"/>
      <c r="H91" s="520" t="n"/>
      <c r="I91" s="520" t="n"/>
    </row>
    <row r="92">
      <c r="A92" s="444" t="n"/>
      <c r="B92" s="444" t="n"/>
      <c r="C92" s="444" t="n"/>
      <c r="D92" s="444" t="n"/>
      <c r="E92" s="444" t="n"/>
      <c r="F92" s="520" t="n"/>
      <c r="G92" s="177" t="n"/>
      <c r="H92" s="520" t="n"/>
      <c r="I92" s="520" t="n"/>
    </row>
    <row r="93">
      <c r="A93" s="444" t="n"/>
      <c r="B93" s="444" t="n"/>
      <c r="C93" s="444" t="n"/>
      <c r="D93" s="444" t="n"/>
      <c r="E93" s="444" t="n"/>
      <c r="F93" s="520" t="n"/>
      <c r="G93" s="177" t="n"/>
      <c r="H93" s="520" t="n"/>
      <c r="I93" s="520" t="n"/>
    </row>
    <row r="94">
      <c r="A94" s="444" t="n"/>
      <c r="B94" s="444" t="n"/>
      <c r="C94" s="444" t="n"/>
      <c r="D94" s="444" t="n"/>
      <c r="E94" s="444" t="n"/>
      <c r="F94" s="520" t="n"/>
      <c r="G94" s="177" t="n"/>
      <c r="H94" s="520" t="n"/>
      <c r="I94" s="520" t="n"/>
    </row>
    <row r="95">
      <c r="A95" s="444" t="n"/>
      <c r="B95" s="444" t="n"/>
      <c r="C95" s="444" t="n"/>
      <c r="D95" s="444" t="n"/>
      <c r="E95" s="444" t="n"/>
      <c r="F95" s="520" t="n"/>
      <c r="G95" s="177" t="n"/>
      <c r="H95" s="520" t="n"/>
      <c r="I95" s="520" t="n"/>
    </row>
    <row r="96">
      <c r="A96" s="444" t="n"/>
      <c r="B96" s="444" t="n"/>
      <c r="C96" s="444" t="n"/>
      <c r="D96" s="444" t="n"/>
      <c r="E96" s="444" t="n"/>
      <c r="F96" s="520" t="n"/>
      <c r="G96" s="177" t="n"/>
      <c r="H96" s="520" t="n"/>
      <c r="I96" s="520" t="n"/>
    </row>
    <row r="97">
      <c r="A97" s="444" t="n"/>
      <c r="B97" s="444" t="n"/>
      <c r="C97" s="444" t="n"/>
      <c r="D97" s="444" t="n"/>
      <c r="E97" s="444" t="n"/>
      <c r="F97" s="520" t="n"/>
      <c r="G97" s="177" t="n"/>
      <c r="H97" s="520" t="n"/>
      <c r="I97" s="520" t="n"/>
    </row>
    <row r="98">
      <c r="A98" s="444" t="n"/>
      <c r="B98" s="444" t="n"/>
      <c r="C98" s="444" t="n"/>
      <c r="D98" s="444" t="n"/>
      <c r="E98" s="444" t="n"/>
      <c r="F98" s="520" t="n"/>
      <c r="G98" s="177" t="n"/>
      <c r="H98" s="520" t="n"/>
      <c r="I98" s="520" t="n"/>
    </row>
    <row r="99">
      <c r="A99" s="444" t="n"/>
      <c r="B99" s="444" t="n"/>
      <c r="C99" s="444" t="n"/>
      <c r="D99" s="444" t="n"/>
      <c r="E99" s="444" t="n"/>
      <c r="F99" s="520" t="n"/>
      <c r="G99" s="177" t="n"/>
      <c r="H99" s="520" t="n"/>
      <c r="I99" s="520" t="n"/>
    </row>
    <row r="100">
      <c r="A100" s="444" t="n"/>
      <c r="B100" s="444" t="n"/>
      <c r="C100" s="444" t="n"/>
      <c r="D100" s="444" t="n"/>
      <c r="E100" s="444" t="n"/>
      <c r="F100" s="520" t="n"/>
      <c r="G100" s="177" t="n"/>
      <c r="H100" s="520" t="n"/>
      <c r="I100" s="520" t="n"/>
    </row>
    <row r="101">
      <c r="A101" s="444" t="n"/>
      <c r="B101" s="444" t="n"/>
      <c r="C101" s="444" t="n"/>
      <c r="D101" s="444" t="n"/>
      <c r="E101" s="444" t="n"/>
      <c r="F101" s="520" t="n"/>
      <c r="G101" s="177" t="n"/>
      <c r="H101" s="520" t="n"/>
      <c r="I101" s="520" t="n"/>
    </row>
    <row r="102">
      <c r="A102" s="444" t="n"/>
      <c r="B102" s="444" t="n"/>
      <c r="C102" s="444" t="n"/>
      <c r="D102" s="444" t="n"/>
      <c r="E102" s="444" t="n"/>
      <c r="F102" s="520" t="n"/>
      <c r="G102" s="177" t="n"/>
      <c r="H102" s="520" t="n"/>
      <c r="I102" s="520" t="n"/>
    </row>
    <row r="103">
      <c r="A103" s="444" t="n"/>
      <c r="B103" s="444" t="n"/>
      <c r="C103" s="444" t="n"/>
      <c r="D103" s="444" t="n"/>
      <c r="E103" s="444" t="n"/>
      <c r="F103" s="520" t="n"/>
      <c r="G103" s="177" t="n"/>
      <c r="H103" s="520" t="n"/>
      <c r="I103" s="520" t="n"/>
    </row>
    <row r="104">
      <c r="A104" s="444" t="n"/>
      <c r="B104" s="444" t="n"/>
      <c r="C104" s="444" t="n"/>
      <c r="D104" s="444" t="n"/>
      <c r="E104" s="444" t="n"/>
      <c r="F104" s="520" t="n"/>
      <c r="G104" s="177" t="n"/>
      <c r="H104" s="520" t="n"/>
      <c r="I104" s="520" t="n"/>
    </row>
    <row r="105">
      <c r="A105" s="444" t="n"/>
      <c r="B105" s="444" t="n"/>
      <c r="C105" s="444" t="n"/>
      <c r="D105" s="444" t="n"/>
      <c r="E105" s="444" t="n"/>
      <c r="F105" s="520" t="n"/>
      <c r="G105" s="177" t="n"/>
      <c r="H105" s="520" t="n"/>
      <c r="I105" s="520" t="n"/>
    </row>
    <row r="106">
      <c r="A106" s="444" t="n"/>
      <c r="B106" s="444" t="n"/>
      <c r="C106" s="444" t="n"/>
      <c r="D106" s="444" t="n"/>
      <c r="E106" s="444" t="n"/>
      <c r="F106" s="520" t="n"/>
      <c r="G106" s="177" t="n"/>
      <c r="H106" s="520" t="n"/>
      <c r="I106" s="520" t="n"/>
    </row>
    <row r="107">
      <c r="A107" s="444" t="n"/>
      <c r="B107" s="444" t="n"/>
      <c r="C107" s="444" t="n"/>
      <c r="D107" s="444" t="n"/>
      <c r="E107" s="444" t="n"/>
      <c r="F107" s="520" t="n"/>
      <c r="G107" s="177" t="n"/>
      <c r="H107" s="520" t="n"/>
      <c r="I107" s="520" t="n"/>
    </row>
    <row r="108">
      <c r="A108" s="444" t="n"/>
      <c r="B108" s="444" t="n"/>
      <c r="C108" s="444" t="n"/>
      <c r="D108" s="444" t="n"/>
      <c r="E108" s="444" t="n"/>
      <c r="F108" s="520" t="n"/>
      <c r="G108" s="177" t="n"/>
      <c r="H108" s="520" t="n"/>
      <c r="I108" s="520" t="n"/>
    </row>
    <row r="109">
      <c r="A109" s="444" t="n"/>
      <c r="B109" s="444" t="n"/>
      <c r="C109" s="444" t="n"/>
      <c r="D109" s="444" t="n"/>
      <c r="E109" s="444" t="n"/>
      <c r="F109" s="520" t="n"/>
      <c r="G109" s="177" t="n"/>
      <c r="H109" s="520" t="n"/>
      <c r="I109" s="520" t="n"/>
    </row>
    <row r="110">
      <c r="A110" s="444" t="n"/>
      <c r="B110" s="444" t="n"/>
      <c r="C110" s="444" t="n"/>
      <c r="D110" s="444" t="n"/>
      <c r="E110" s="444" t="n"/>
      <c r="F110" s="520" t="n"/>
      <c r="G110" s="177" t="n"/>
      <c r="H110" s="520" t="n"/>
      <c r="I110" s="520" t="n"/>
    </row>
    <row r="111">
      <c r="A111" s="444" t="n"/>
      <c r="B111" s="444" t="n"/>
      <c r="C111" s="444" t="n"/>
      <c r="D111" s="444" t="n"/>
      <c r="E111" s="444" t="n"/>
      <c r="F111" s="520" t="n"/>
      <c r="G111" s="177" t="n"/>
      <c r="H111" s="520" t="n"/>
      <c r="I111" s="520" t="n"/>
    </row>
    <row r="112">
      <c r="A112" s="444" t="n"/>
      <c r="B112" s="444" t="n"/>
      <c r="C112" s="444" t="n"/>
      <c r="D112" s="444" t="n"/>
      <c r="E112" s="444" t="n"/>
      <c r="F112" s="520" t="n"/>
      <c r="G112" s="177" t="n"/>
      <c r="H112" s="520" t="n"/>
      <c r="I112" s="520" t="n"/>
    </row>
    <row r="113">
      <c r="A113" s="444" t="n"/>
      <c r="B113" s="444" t="n"/>
      <c r="C113" s="444" t="n"/>
      <c r="D113" s="444" t="n"/>
      <c r="E113" s="444" t="n"/>
      <c r="F113" s="520" t="n"/>
      <c r="G113" s="177" t="n"/>
      <c r="H113" s="520" t="n"/>
      <c r="I113" s="520" t="n"/>
    </row>
    <row r="114">
      <c r="A114" s="444" t="n"/>
      <c r="B114" s="444" t="n"/>
      <c r="C114" s="444" t="n"/>
      <c r="D114" s="444" t="n"/>
      <c r="E114" s="444" t="n"/>
      <c r="F114" s="520" t="n"/>
      <c r="G114" s="177" t="n"/>
      <c r="H114" s="520" t="n"/>
      <c r="I114" s="520" t="n"/>
    </row>
    <row r="115">
      <c r="A115" s="444" t="n"/>
      <c r="B115" s="444" t="n"/>
      <c r="C115" s="444" t="n"/>
      <c r="D115" s="444" t="n"/>
      <c r="E115" s="444" t="n"/>
      <c r="F115" s="520" t="n"/>
      <c r="G115" s="177" t="n"/>
      <c r="H115" s="520" t="n"/>
      <c r="I115" s="520" t="n"/>
    </row>
    <row r="116">
      <c r="A116" s="444" t="n"/>
      <c r="B116" s="444" t="n"/>
      <c r="C116" s="444" t="n"/>
      <c r="D116" s="444" t="n"/>
      <c r="E116" s="444" t="n"/>
      <c r="F116" s="520" t="n"/>
      <c r="G116" s="177" t="n"/>
      <c r="H116" s="520" t="n"/>
      <c r="I116" s="520" t="n"/>
    </row>
    <row r="117">
      <c r="A117" s="444" t="n"/>
      <c r="B117" s="444" t="n"/>
      <c r="C117" s="444" t="n"/>
      <c r="D117" s="444" t="n"/>
      <c r="E117" s="444" t="n"/>
      <c r="F117" s="520" t="n"/>
      <c r="G117" s="177" t="n"/>
      <c r="H117" s="520" t="n"/>
      <c r="I117" s="520" t="n"/>
    </row>
    <row r="118">
      <c r="A118" s="444" t="n"/>
      <c r="B118" s="444" t="n"/>
      <c r="C118" s="444" t="n"/>
      <c r="D118" s="444" t="n"/>
      <c r="E118" s="444" t="n"/>
      <c r="F118" s="520" t="n"/>
      <c r="G118" s="177" t="n"/>
      <c r="H118" s="520" t="n"/>
      <c r="I118" s="520" t="n"/>
    </row>
    <row r="119">
      <c r="A119" s="444" t="n"/>
      <c r="B119" s="444" t="n"/>
      <c r="C119" s="444" t="n"/>
      <c r="D119" s="444" t="n"/>
      <c r="E119" s="444" t="n"/>
      <c r="F119" s="520" t="n"/>
      <c r="G119" s="177" t="n"/>
      <c r="H119" s="520" t="n"/>
      <c r="I119" s="520" t="n"/>
    </row>
    <row r="120">
      <c r="A120" s="444" t="n"/>
      <c r="B120" s="444" t="n"/>
      <c r="C120" s="444" t="n"/>
      <c r="D120" s="444" t="n"/>
      <c r="E120" s="444" t="n"/>
      <c r="F120" s="520" t="n"/>
      <c r="G120" s="177" t="n"/>
      <c r="H120" s="520" t="n"/>
      <c r="I120" s="520" t="n"/>
    </row>
    <row r="121">
      <c r="A121" s="444" t="n"/>
      <c r="B121" s="444" t="n"/>
      <c r="C121" s="444" t="n"/>
      <c r="D121" s="444" t="n"/>
      <c r="E121" s="444" t="n"/>
      <c r="F121" s="520" t="n"/>
      <c r="G121" s="177" t="n"/>
      <c r="H121" s="520" t="n"/>
      <c r="I121" s="520" t="n"/>
    </row>
    <row r="122">
      <c r="A122" s="444" t="n"/>
      <c r="B122" s="444" t="n"/>
      <c r="C122" s="444" t="n"/>
      <c r="D122" s="444" t="n"/>
      <c r="E122" s="444" t="n"/>
      <c r="F122" s="520" t="n"/>
      <c r="G122" s="177" t="n"/>
      <c r="H122" s="520" t="n"/>
      <c r="I122" s="520" t="n"/>
    </row>
    <row r="123">
      <c r="A123" s="444" t="n"/>
      <c r="B123" s="444" t="n"/>
      <c r="C123" s="444" t="n"/>
      <c r="D123" s="444" t="n"/>
      <c r="E123" s="444" t="n"/>
      <c r="F123" s="520" t="n"/>
      <c r="G123" s="177" t="n"/>
      <c r="H123" s="520" t="n"/>
      <c r="I123" s="520" t="n"/>
    </row>
    <row r="124">
      <c r="A124" s="444" t="n"/>
      <c r="B124" s="444" t="n"/>
      <c r="C124" s="444" t="n"/>
      <c r="D124" s="444" t="n"/>
      <c r="E124" s="444" t="n"/>
      <c r="F124" s="520" t="n"/>
      <c r="G124" s="177" t="n"/>
      <c r="H124" s="520" t="n"/>
      <c r="I124" s="520" t="n"/>
    </row>
    <row r="125">
      <c r="A125" s="444" t="n"/>
      <c r="B125" s="444" t="n"/>
      <c r="C125" s="444" t="n"/>
      <c r="D125" s="444" t="n"/>
      <c r="E125" s="444" t="n"/>
      <c r="F125" s="520" t="n"/>
      <c r="G125" s="177" t="n"/>
      <c r="H125" s="520" t="n"/>
      <c r="I125" s="520" t="n"/>
    </row>
    <row r="126">
      <c r="A126" s="444" t="n"/>
      <c r="B126" s="444" t="n"/>
      <c r="C126" s="444" t="n"/>
      <c r="D126" s="444" t="n"/>
      <c r="E126" s="444" t="n"/>
      <c r="F126" s="520" t="n"/>
      <c r="G126" s="177" t="n"/>
      <c r="H126" s="520" t="n"/>
      <c r="I126" s="520" t="n"/>
    </row>
    <row r="127">
      <c r="A127" s="444" t="n"/>
      <c r="B127" s="444" t="n"/>
      <c r="C127" s="444" t="n"/>
      <c r="D127" s="444" t="n"/>
      <c r="E127" s="444" t="n"/>
      <c r="F127" s="520" t="n"/>
      <c r="G127" s="177" t="n"/>
      <c r="H127" s="520" t="n"/>
      <c r="I127" s="520" t="n"/>
    </row>
    <row r="128">
      <c r="A128" s="444" t="n"/>
      <c r="B128" s="444" t="n"/>
      <c r="C128" s="444" t="n"/>
      <c r="D128" s="444" t="n"/>
      <c r="E128" s="444" t="n"/>
      <c r="F128" s="520" t="n"/>
      <c r="G128" s="177" t="n"/>
      <c r="H128" s="520" t="n"/>
      <c r="I128" s="520" t="n"/>
    </row>
    <row r="129">
      <c r="A129" s="444" t="n"/>
      <c r="B129" s="444" t="n"/>
      <c r="C129" s="444" t="n"/>
      <c r="D129" s="444" t="n"/>
      <c r="E129" s="444" t="n"/>
      <c r="F129" s="520" t="n"/>
      <c r="G129" s="177" t="n"/>
      <c r="H129" s="520" t="n"/>
      <c r="I129" s="520" t="n"/>
    </row>
    <row r="130">
      <c r="A130" s="444" t="n"/>
      <c r="B130" s="444" t="n"/>
      <c r="C130" s="444" t="n"/>
      <c r="D130" s="444" t="n"/>
      <c r="E130" s="444" t="n"/>
      <c r="F130" s="520" t="n"/>
      <c r="G130" s="177" t="n"/>
      <c r="H130" s="520" t="n"/>
      <c r="I130" s="520" t="n"/>
    </row>
    <row r="131">
      <c r="A131" s="444" t="n"/>
      <c r="B131" s="444" t="n"/>
      <c r="C131" s="444" t="n"/>
      <c r="D131" s="444" t="n"/>
      <c r="E131" s="444" t="n"/>
      <c r="F131" s="520" t="n"/>
      <c r="G131" s="177" t="n"/>
      <c r="H131" s="520" t="n"/>
      <c r="I131" s="520" t="n"/>
    </row>
    <row r="132">
      <c r="A132" s="444" t="n"/>
      <c r="B132" s="444" t="n"/>
      <c r="C132" s="444" t="n"/>
      <c r="D132" s="444" t="n"/>
      <c r="E132" s="444" t="n"/>
      <c r="F132" s="520" t="n"/>
      <c r="G132" s="177" t="n"/>
      <c r="H132" s="520" t="n"/>
      <c r="I132" s="520" t="n"/>
    </row>
    <row r="133">
      <c r="A133" s="444" t="n"/>
      <c r="B133" s="444" t="n"/>
      <c r="C133" s="444" t="n"/>
      <c r="D133" s="444" t="n"/>
      <c r="E133" s="444" t="n"/>
      <c r="F133" s="520" t="n"/>
      <c r="G133" s="177" t="n"/>
      <c r="H133" s="520" t="n"/>
      <c r="I133" s="520" t="n"/>
    </row>
    <row r="134">
      <c r="A134" s="444" t="n"/>
      <c r="B134" s="444" t="n"/>
      <c r="C134" s="444" t="n"/>
      <c r="D134" s="444" t="n"/>
      <c r="E134" s="444" t="n"/>
      <c r="F134" s="520" t="n"/>
      <c r="G134" s="177" t="n"/>
      <c r="H134" s="520" t="n"/>
      <c r="I134" s="520" t="n"/>
    </row>
    <row r="135">
      <c r="A135" s="444" t="n"/>
      <c r="B135" s="444" t="n"/>
      <c r="C135" s="444" t="n"/>
      <c r="D135" s="444" t="n"/>
      <c r="E135" s="444" t="n"/>
      <c r="F135" s="520" t="n"/>
      <c r="G135" s="177" t="n"/>
      <c r="H135" s="520" t="n"/>
      <c r="I135" s="520" t="n"/>
    </row>
    <row r="136">
      <c r="A136" s="444" t="n"/>
      <c r="B136" s="444" t="n"/>
      <c r="C136" s="444" t="n"/>
      <c r="D136" s="444" t="n"/>
      <c r="E136" s="444" t="n"/>
      <c r="F136" s="520" t="n"/>
      <c r="G136" s="177" t="n"/>
      <c r="H136" s="520" t="n"/>
      <c r="I136" s="520" t="n"/>
    </row>
    <row r="137">
      <c r="A137" s="444" t="n"/>
      <c r="B137" s="444" t="n"/>
      <c r="C137" s="444" t="n"/>
      <c r="D137" s="444" t="n"/>
      <c r="E137" s="444" t="n"/>
      <c r="F137" s="520" t="n"/>
      <c r="G137" s="177" t="n"/>
      <c r="H137" s="520" t="n"/>
      <c r="I137" s="520" t="n"/>
    </row>
    <row r="138">
      <c r="A138" s="444" t="n"/>
      <c r="B138" s="444" t="n"/>
      <c r="C138" s="444" t="n"/>
      <c r="D138" s="444" t="n"/>
      <c r="E138" s="444" t="n"/>
      <c r="F138" s="520" t="n"/>
      <c r="G138" s="177" t="n"/>
      <c r="H138" s="520" t="n"/>
      <c r="I138" s="520" t="n"/>
    </row>
    <row r="139">
      <c r="A139" s="444" t="n"/>
      <c r="B139" s="444" t="n"/>
      <c r="C139" s="444" t="n"/>
      <c r="D139" s="444" t="n"/>
      <c r="E139" s="444" t="n"/>
      <c r="F139" s="520" t="n"/>
      <c r="G139" s="177" t="n"/>
      <c r="H139" s="520" t="n"/>
      <c r="I139" s="520" t="n"/>
    </row>
    <row r="140">
      <c r="A140" s="444" t="n"/>
      <c r="B140" s="444" t="n"/>
      <c r="C140" s="444" t="n"/>
      <c r="D140" s="444" t="n"/>
      <c r="E140" s="444" t="n"/>
      <c r="F140" s="520" t="n"/>
      <c r="G140" s="177" t="n"/>
      <c r="H140" s="520" t="n"/>
      <c r="I140" s="520" t="n"/>
    </row>
    <row r="141">
      <c r="A141" s="444" t="n"/>
      <c r="B141" s="444" t="n"/>
      <c r="C141" s="444" t="n"/>
      <c r="D141" s="444" t="n"/>
      <c r="E141" s="444" t="n"/>
      <c r="F141" s="520" t="n"/>
      <c r="G141" s="177" t="n"/>
      <c r="H141" s="520" t="n"/>
      <c r="I141" s="520" t="n"/>
    </row>
    <row r="142">
      <c r="A142" s="444" t="n"/>
      <c r="B142" s="444" t="n"/>
      <c r="C142" s="444" t="n"/>
      <c r="D142" s="444" t="n"/>
      <c r="E142" s="444" t="n"/>
      <c r="F142" s="520" t="n"/>
      <c r="G142" s="177" t="n"/>
      <c r="H142" s="520" t="n"/>
      <c r="I142" s="520" t="n"/>
    </row>
    <row r="143">
      <c r="A143" s="444" t="n"/>
      <c r="B143" s="444" t="n"/>
      <c r="C143" s="444" t="n"/>
      <c r="D143" s="444" t="n"/>
      <c r="E143" s="444" t="n"/>
      <c r="F143" s="520" t="n"/>
      <c r="G143" s="177" t="n"/>
      <c r="H143" s="520" t="n"/>
      <c r="I143" s="520" t="n"/>
    </row>
    <row r="144">
      <c r="A144" s="444" t="n"/>
      <c r="B144" s="444" t="n"/>
      <c r="C144" s="444" t="n"/>
      <c r="D144" s="444" t="n"/>
      <c r="E144" s="444" t="n"/>
      <c r="F144" s="520" t="n"/>
      <c r="G144" s="177" t="n"/>
      <c r="H144" s="520" t="n"/>
      <c r="I144" s="520" t="n"/>
    </row>
    <row r="145">
      <c r="A145" s="444" t="n"/>
      <c r="B145" s="444" t="n"/>
      <c r="C145" s="444" t="n"/>
      <c r="D145" s="444" t="n"/>
      <c r="E145" s="444" t="n"/>
      <c r="F145" s="520" t="n"/>
      <c r="G145" s="177" t="n"/>
      <c r="H145" s="520" t="n"/>
      <c r="I145" s="520" t="n"/>
    </row>
    <row r="146">
      <c r="A146" s="444" t="n"/>
      <c r="B146" s="444" t="n"/>
      <c r="C146" s="444" t="n"/>
      <c r="D146" s="444" t="n"/>
      <c r="E146" s="444" t="n"/>
      <c r="F146" s="520" t="n"/>
      <c r="G146" s="177" t="n"/>
      <c r="H146" s="520" t="n"/>
      <c r="I146" s="520" t="n"/>
    </row>
    <row r="147">
      <c r="A147" s="444" t="n"/>
      <c r="B147" s="444" t="n"/>
      <c r="C147" s="444" t="n"/>
      <c r="D147" s="444" t="n"/>
      <c r="E147" s="444" t="n"/>
      <c r="F147" s="520" t="n"/>
      <c r="G147" s="177" t="n"/>
      <c r="H147" s="520" t="n"/>
      <c r="I147" s="520" t="n"/>
    </row>
    <row r="148">
      <c r="A148" s="444" t="n"/>
      <c r="B148" s="444" t="n"/>
      <c r="C148" s="444" t="n"/>
      <c r="D148" s="444" t="n"/>
      <c r="E148" s="444" t="n"/>
      <c r="F148" s="520" t="n"/>
      <c r="G148" s="177" t="n"/>
      <c r="H148" s="520" t="n"/>
      <c r="I148" s="520" t="n"/>
    </row>
    <row r="149">
      <c r="A149" s="444" t="n"/>
      <c r="B149" s="444" t="n"/>
      <c r="C149" s="444" t="n"/>
      <c r="D149" s="444" t="n"/>
      <c r="E149" s="444" t="n"/>
      <c r="F149" s="520" t="n"/>
      <c r="G149" s="177" t="n"/>
      <c r="H149" s="520" t="n"/>
      <c r="I149" s="520" t="n"/>
    </row>
    <row r="150">
      <c r="A150" s="444" t="n"/>
      <c r="B150" s="444" t="n"/>
      <c r="C150" s="444" t="n"/>
      <c r="D150" s="444" t="n"/>
      <c r="E150" s="444" t="n"/>
      <c r="F150" s="520" t="n"/>
      <c r="G150" s="177" t="n"/>
      <c r="H150" s="520" t="n"/>
      <c r="I150" s="520" t="n"/>
    </row>
    <row r="151">
      <c r="A151" s="444" t="n"/>
      <c r="B151" s="444" t="n"/>
      <c r="C151" s="444" t="n"/>
      <c r="D151" s="444" t="n"/>
      <c r="E151" s="444" t="n"/>
      <c r="F151" s="520" t="n"/>
      <c r="G151" s="177" t="n"/>
      <c r="H151" s="520" t="n"/>
      <c r="I151" s="520" t="n"/>
    </row>
    <row r="152">
      <c r="A152" s="444" t="n"/>
      <c r="B152" s="444" t="n"/>
      <c r="C152" s="444" t="n"/>
      <c r="D152" s="444" t="n"/>
      <c r="E152" s="444" t="n"/>
      <c r="F152" s="520" t="n"/>
      <c r="G152" s="177" t="n"/>
      <c r="H152" s="520" t="n"/>
      <c r="I152" s="520" t="n"/>
    </row>
    <row r="153">
      <c r="A153" s="444" t="n"/>
      <c r="B153" s="444" t="n"/>
      <c r="C153" s="444" t="n"/>
      <c r="D153" s="444" t="n"/>
      <c r="E153" s="444" t="n"/>
      <c r="F153" s="520" t="n"/>
      <c r="G153" s="177" t="n"/>
      <c r="H153" s="520" t="n"/>
      <c r="I153" s="520" t="n"/>
    </row>
    <row r="154">
      <c r="A154" s="444" t="n"/>
      <c r="B154" s="444" t="n"/>
      <c r="C154" s="444" t="n"/>
      <c r="D154" s="444" t="n"/>
      <c r="E154" s="444" t="n"/>
      <c r="F154" s="520" t="n"/>
      <c r="G154" s="177" t="n"/>
      <c r="H154" s="520" t="n"/>
      <c r="I154" s="520" t="n"/>
    </row>
    <row r="155">
      <c r="A155" s="444" t="n"/>
      <c r="B155" s="444" t="n"/>
      <c r="C155" s="444" t="n"/>
      <c r="D155" s="444" t="n"/>
      <c r="E155" s="444" t="n"/>
      <c r="F155" s="520" t="n"/>
      <c r="G155" s="177" t="n"/>
      <c r="H155" s="520" t="n"/>
      <c r="I155" s="520" t="n"/>
    </row>
    <row r="156">
      <c r="A156" s="444" t="n"/>
      <c r="B156" s="444" t="n"/>
      <c r="C156" s="444" t="n"/>
      <c r="D156" s="444" t="n"/>
      <c r="E156" s="444" t="n"/>
      <c r="F156" s="520" t="n"/>
      <c r="G156" s="177" t="n"/>
      <c r="H156" s="520" t="n"/>
      <c r="I156" s="520" t="n"/>
    </row>
    <row r="157">
      <c r="A157" s="444" t="n"/>
      <c r="B157" s="444" t="n"/>
      <c r="C157" s="444" t="n"/>
      <c r="D157" s="444" t="n"/>
      <c r="E157" s="444" t="n"/>
      <c r="F157" s="520" t="n"/>
      <c r="G157" s="177" t="n"/>
      <c r="H157" s="520" t="n"/>
      <c r="I157" s="520" t="n"/>
    </row>
    <row r="158">
      <c r="A158" s="444" t="n"/>
      <c r="B158" s="444" t="n"/>
      <c r="C158" s="444" t="n"/>
      <c r="D158" s="444" t="n"/>
      <c r="E158" s="444" t="n"/>
      <c r="F158" s="520" t="n"/>
      <c r="G158" s="177" t="n"/>
      <c r="H158" s="520" t="n"/>
      <c r="I158" s="520" t="n"/>
    </row>
    <row r="159">
      <c r="A159" s="444" t="n"/>
      <c r="B159" s="444" t="n"/>
      <c r="C159" s="444" t="n"/>
      <c r="D159" s="444" t="n"/>
      <c r="E159" s="444" t="n"/>
      <c r="F159" s="520" t="n"/>
      <c r="G159" s="177" t="n"/>
      <c r="H159" s="520" t="n"/>
      <c r="I159" s="520" t="n"/>
    </row>
    <row r="160">
      <c r="A160" s="444" t="n"/>
      <c r="B160" s="444" t="n"/>
      <c r="C160" s="444" t="n"/>
      <c r="D160" s="444" t="n"/>
      <c r="E160" s="444" t="n"/>
      <c r="F160" s="520" t="n"/>
      <c r="G160" s="177" t="n"/>
      <c r="H160" s="520" t="n"/>
      <c r="I160" s="520" t="n"/>
    </row>
    <row r="161">
      <c r="A161" s="444" t="n"/>
      <c r="B161" s="444" t="n"/>
      <c r="C161" s="444" t="n"/>
      <c r="D161" s="444" t="n"/>
      <c r="E161" s="444" t="n"/>
      <c r="F161" s="520" t="n"/>
      <c r="G161" s="177" t="n"/>
      <c r="H161" s="520" t="n"/>
      <c r="I161" s="520" t="n"/>
    </row>
    <row r="162">
      <c r="A162" s="444" t="n"/>
      <c r="B162" s="444" t="n"/>
      <c r="C162" s="444" t="n"/>
      <c r="D162" s="444" t="n"/>
      <c r="E162" s="444" t="n"/>
      <c r="F162" s="520" t="n"/>
      <c r="G162" s="177" t="n"/>
      <c r="H162" s="520" t="n"/>
      <c r="I162" s="520" t="n"/>
    </row>
    <row r="163">
      <c r="A163" s="444" t="n"/>
      <c r="B163" s="444" t="n"/>
      <c r="C163" s="444" t="n"/>
      <c r="D163" s="444" t="n"/>
      <c r="E163" s="444" t="n"/>
      <c r="F163" s="520" t="n"/>
      <c r="G163" s="177" t="n"/>
      <c r="H163" s="520" t="n"/>
      <c r="I163" s="520" t="n"/>
    </row>
    <row r="164">
      <c r="A164" s="444" t="n"/>
      <c r="B164" s="444" t="n"/>
      <c r="C164" s="444" t="n"/>
      <c r="D164" s="444" t="n"/>
      <c r="E164" s="444" t="n"/>
      <c r="F164" s="520" t="n"/>
      <c r="G164" s="177" t="n"/>
      <c r="H164" s="520" t="n"/>
      <c r="I164" s="520" t="n"/>
    </row>
    <row r="165">
      <c r="A165" s="444" t="n"/>
      <c r="B165" s="444" t="n"/>
      <c r="C165" s="444" t="n"/>
      <c r="D165" s="444" t="n"/>
      <c r="E165" s="444" t="n"/>
      <c r="F165" s="520" t="n"/>
      <c r="G165" s="177" t="n"/>
      <c r="H165" s="520" t="n"/>
      <c r="I165" s="520" t="n"/>
    </row>
    <row r="166">
      <c r="A166" s="444" t="n"/>
      <c r="B166" s="444" t="n"/>
      <c r="C166" s="444" t="n"/>
      <c r="D166" s="444" t="n"/>
      <c r="E166" s="444" t="n"/>
      <c r="F166" s="520" t="n"/>
      <c r="G166" s="177" t="n"/>
      <c r="H166" s="520" t="n"/>
      <c r="I166" s="520" t="n"/>
    </row>
    <row r="167">
      <c r="A167" s="444" t="n"/>
      <c r="B167" s="444" t="n"/>
      <c r="C167" s="444" t="n"/>
      <c r="D167" s="444" t="n"/>
      <c r="E167" s="444" t="n"/>
      <c r="F167" s="520" t="n"/>
      <c r="G167" s="177" t="n"/>
      <c r="H167" s="520" t="n"/>
      <c r="I167" s="520" t="n"/>
    </row>
    <row r="168">
      <c r="A168" s="444" t="n"/>
      <c r="B168" s="444" t="n"/>
      <c r="C168" s="444" t="n"/>
      <c r="D168" s="444" t="n"/>
      <c r="E168" s="444" t="n"/>
      <c r="F168" s="520" t="n"/>
      <c r="G168" s="177" t="n"/>
      <c r="H168" s="520" t="n"/>
      <c r="I168" s="520" t="n"/>
    </row>
    <row r="169">
      <c r="A169" s="444" t="n"/>
      <c r="B169" s="444" t="n"/>
      <c r="C169" s="444" t="n"/>
      <c r="D169" s="444" t="n"/>
      <c r="E169" s="444" t="n"/>
      <c r="F169" s="520" t="n"/>
      <c r="G169" s="177" t="n"/>
      <c r="H169" s="520" t="n"/>
      <c r="I169" s="520" t="n"/>
    </row>
    <row r="170">
      <c r="A170" s="444" t="n"/>
      <c r="B170" s="444" t="n"/>
      <c r="C170" s="444" t="n"/>
      <c r="D170" s="444" t="n"/>
      <c r="E170" s="444" t="n"/>
      <c r="F170" s="520" t="n"/>
      <c r="G170" s="177" t="n"/>
      <c r="H170" s="520" t="n"/>
      <c r="I170" s="520" t="n"/>
    </row>
    <row r="171">
      <c r="A171" s="444" t="n"/>
      <c r="B171" s="444" t="n"/>
      <c r="C171" s="444" t="n"/>
      <c r="D171" s="444" t="n"/>
      <c r="E171" s="444" t="n"/>
      <c r="F171" s="520" t="n"/>
      <c r="G171" s="177" t="n"/>
      <c r="H171" s="520" t="n"/>
      <c r="I171" s="520" t="n"/>
    </row>
    <row r="172">
      <c r="A172" s="444" t="n"/>
      <c r="B172" s="444" t="n"/>
      <c r="C172" s="444" t="n"/>
      <c r="D172" s="444" t="n"/>
      <c r="E172" s="444" t="n"/>
      <c r="F172" s="520" t="n"/>
      <c r="G172" s="177" t="n"/>
      <c r="H172" s="520" t="n"/>
      <c r="I172" s="520" t="n"/>
    </row>
    <row r="173">
      <c r="A173" s="444" t="n"/>
      <c r="B173" s="444" t="n"/>
      <c r="C173" s="444" t="n"/>
      <c r="D173" s="444" t="n"/>
      <c r="E173" s="444" t="n"/>
      <c r="F173" s="520" t="n"/>
      <c r="G173" s="177" t="n"/>
      <c r="H173" s="520" t="n"/>
      <c r="I173" s="520" t="n"/>
    </row>
    <row r="174">
      <c r="A174" s="444" t="n"/>
      <c r="B174" s="444" t="n"/>
      <c r="C174" s="444" t="n"/>
      <c r="D174" s="444" t="n"/>
      <c r="E174" s="444" t="n"/>
      <c r="F174" s="520" t="n"/>
      <c r="G174" s="177" t="n"/>
      <c r="H174" s="520" t="n"/>
      <c r="I174" s="520" t="n"/>
    </row>
    <row r="175">
      <c r="A175" s="444" t="n"/>
      <c r="B175" s="444" t="n"/>
      <c r="C175" s="444" t="n"/>
      <c r="D175" s="444" t="n"/>
      <c r="E175" s="444" t="n"/>
      <c r="F175" s="520" t="n"/>
      <c r="G175" s="177" t="n"/>
      <c r="H175" s="520" t="n"/>
      <c r="I175" s="520" t="n"/>
    </row>
    <row r="176">
      <c r="A176" s="444" t="n"/>
      <c r="B176" s="444" t="n"/>
      <c r="C176" s="444" t="n"/>
      <c r="D176" s="444" t="n"/>
      <c r="E176" s="444" t="n"/>
      <c r="F176" s="520" t="n"/>
      <c r="G176" s="177" t="n"/>
      <c r="H176" s="520" t="n"/>
      <c r="I176" s="520" t="n"/>
    </row>
    <row r="177">
      <c r="A177" s="444" t="n"/>
      <c r="B177" s="444" t="n"/>
      <c r="C177" s="444" t="n"/>
      <c r="D177" s="444" t="n"/>
      <c r="E177" s="444" t="n"/>
      <c r="F177" s="520" t="n"/>
      <c r="G177" s="177" t="n"/>
      <c r="H177" s="520" t="n"/>
      <c r="I177" s="520" t="n"/>
    </row>
    <row r="178">
      <c r="A178" s="444" t="n"/>
      <c r="B178" s="444" t="n"/>
      <c r="C178" s="444" t="n"/>
      <c r="D178" s="444" t="n"/>
      <c r="E178" s="444" t="n"/>
      <c r="F178" s="520" t="n"/>
      <c r="G178" s="177" t="n"/>
      <c r="H178" s="520" t="n"/>
      <c r="I178" s="520" t="n"/>
    </row>
    <row r="179">
      <c r="A179" s="444" t="n"/>
      <c r="B179" s="444" t="n"/>
      <c r="C179" s="444" t="n"/>
      <c r="D179" s="444" t="n"/>
      <c r="E179" s="444" t="n"/>
      <c r="F179" s="520" t="n"/>
      <c r="G179" s="177" t="n"/>
      <c r="H179" s="520" t="n"/>
      <c r="I179" s="520" t="n"/>
    </row>
  </sheetData>
  <mergeCells count="6">
    <mergeCell ref="A2:E3"/>
    <mergeCell ref="H1:I1"/>
    <mergeCell ref="A12:A32"/>
    <mergeCell ref="A33:D33"/>
    <mergeCell ref="A9:A11"/>
    <mergeCell ref="A4:E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  <col width="8.625" customWidth="1" style="142" min="12" max="12"/>
    <col width="9" customWidth="1" style="142" min="13" max="13"/>
    <col width="7.75" customWidth="1" style="527" min="14" max="14"/>
    <col width="9.75" customWidth="1" style="527" min="15" max="15"/>
    <col width="8.25" customWidth="1" style="527" min="16" max="16"/>
    <col width="9.75" customWidth="1" style="527" min="17" max="17"/>
    <col width="8.375" customWidth="1" style="527" min="18" max="18"/>
    <col width="9.75" customWidth="1" style="527" min="19" max="19"/>
    <col width="8" customWidth="1" style="527" min="20" max="20"/>
    <col width="9.75" customWidth="1" style="527" min="21" max="21"/>
    <col width="8.25" customWidth="1" style="527" min="22" max="22"/>
    <col width="9.75" customWidth="1" style="527" min="23" max="23"/>
    <col width="13.75" customWidth="1" style="527" min="24" max="24"/>
    <col width="9.75" customWidth="1" style="527" min="25" max="25"/>
    <col width="9.75" customWidth="1" style="143" min="26" max="27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144" t="inlineStr">
        <is>
          <t>网价[2026-04-30]</t>
        </is>
      </c>
      <c r="H1" s="84" t="n">
        <v>2</v>
      </c>
      <c r="I1" s="530" t="n"/>
      <c r="J1" s="84" t="n">
        <v>2</v>
      </c>
      <c r="K1" s="530" t="n"/>
      <c r="L1" s="145" t="n">
        <v>3</v>
      </c>
      <c r="M1" s="536" t="n"/>
      <c r="N1" s="84" t="n">
        <v>4</v>
      </c>
      <c r="O1" s="530" t="n"/>
      <c r="P1" s="145" t="n">
        <v>5</v>
      </c>
      <c r="Q1" s="536" t="n"/>
      <c r="R1" s="84" t="n">
        <v>6</v>
      </c>
      <c r="S1" s="530" t="n"/>
      <c r="T1" s="145" t="n">
        <v>7</v>
      </c>
      <c r="U1" s="536" t="n"/>
      <c r="V1" s="84" t="n">
        <v>8</v>
      </c>
      <c r="W1" s="530" t="n"/>
      <c r="X1" s="84" t="inlineStr">
        <is>
          <t>工程户</t>
        </is>
      </c>
      <c r="Y1" s="530" t="n"/>
      <c r="Z1" s="9" t="n"/>
      <c r="AA1" s="9" t="n"/>
    </row>
    <row r="2" ht="14.25" customHeight="1" s="527">
      <c r="A2" s="89" t="inlineStr">
        <is>
          <t>钢材询价表（马钢）</t>
        </is>
      </c>
      <c r="F2" s="90" t="inlineStr">
        <is>
          <t>高线10基价</t>
        </is>
      </c>
      <c r="G2" s="106" t="n"/>
      <c r="H2" s="92" t="n"/>
      <c r="I2" s="150" t="n"/>
      <c r="J2" s="92" t="n"/>
      <c r="K2" s="150" t="n"/>
      <c r="L2" s="92" t="n"/>
      <c r="M2" s="150" t="n"/>
      <c r="N2" s="92" t="n"/>
      <c r="O2" s="151" t="n"/>
      <c r="P2" s="92" t="n"/>
      <c r="Q2" s="151" t="n"/>
      <c r="R2" s="92" t="n"/>
      <c r="S2" s="151" t="n"/>
      <c r="T2" s="92" t="n"/>
      <c r="U2" s="151" t="n"/>
      <c r="V2" s="92" t="n"/>
      <c r="W2" s="151" t="n"/>
      <c r="X2" s="92" t="n"/>
      <c r="Y2" s="90" t="n"/>
      <c r="Z2" s="9" t="n"/>
      <c r="AA2" s="9" t="n"/>
    </row>
    <row r="3" ht="16.5" customHeight="1" s="527">
      <c r="F3" s="90" t="inlineStr">
        <is>
          <t>盘螺10基价</t>
        </is>
      </c>
      <c r="G3" s="280" t="n">
        <v>3820</v>
      </c>
      <c r="H3" s="98" t="n"/>
      <c r="I3" s="150" t="n"/>
      <c r="J3" s="98" t="n"/>
      <c r="K3" s="150" t="n"/>
      <c r="L3" s="98" t="n"/>
      <c r="M3" s="150" t="n"/>
      <c r="N3" s="98" t="n"/>
      <c r="O3" s="151" t="n"/>
      <c r="P3" s="98" t="n"/>
      <c r="Q3" s="151" t="n"/>
      <c r="R3" s="98" t="n"/>
      <c r="S3" s="151" t="n"/>
      <c r="T3" s="98" t="n"/>
      <c r="U3" s="151" t="n"/>
      <c r="V3" s="98" t="n"/>
      <c r="W3" s="151" t="n"/>
      <c r="X3" s="82" t="n">
        <v>3750</v>
      </c>
      <c r="Y3" s="90" t="n"/>
      <c r="Z3" s="9" t="n"/>
      <c r="AA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>
        <v>3530</v>
      </c>
      <c r="H4" s="98" t="n"/>
      <c r="I4" s="150" t="n"/>
      <c r="J4" s="98" t="n"/>
      <c r="K4" s="150" t="n"/>
      <c r="L4" s="98" t="n"/>
      <c r="M4" s="150" t="n"/>
      <c r="N4" s="98" t="n"/>
      <c r="O4" s="151" t="n"/>
      <c r="P4" s="98" t="n"/>
      <c r="Q4" s="151" t="n"/>
      <c r="R4" s="98" t="n"/>
      <c r="S4" s="151" t="n"/>
      <c r="T4" s="98" t="n"/>
      <c r="U4" s="151" t="n"/>
      <c r="V4" s="98" t="n"/>
      <c r="W4" s="151" t="n"/>
      <c r="X4" s="82" t="n">
        <v>3490</v>
      </c>
      <c r="Y4" s="90" t="n"/>
      <c r="Z4" s="9" t="n"/>
      <c r="AA4" s="9" t="n"/>
    </row>
    <row r="5" ht="14.25" customHeight="1" s="527">
      <c r="E5" s="533" t="n"/>
      <c r="F5" s="101" t="inlineStr">
        <is>
          <t>不开票运费</t>
        </is>
      </c>
      <c r="G5" s="152" t="n"/>
      <c r="H5" s="105" t="n">
        <v>0</v>
      </c>
      <c r="I5" s="150" t="n"/>
      <c r="J5" s="105" t="n">
        <v>0</v>
      </c>
      <c r="K5" s="150" t="n"/>
      <c r="L5" s="105" t="n"/>
      <c r="M5" s="150" t="n"/>
      <c r="N5" s="105" t="n">
        <v>0</v>
      </c>
      <c r="O5" s="151" t="n"/>
      <c r="P5" s="105" t="n">
        <v>0</v>
      </c>
      <c r="Q5" s="151" t="n"/>
      <c r="R5" s="105" t="n">
        <v>0</v>
      </c>
      <c r="S5" s="151" t="n"/>
      <c r="T5" s="92" t="n">
        <v>0</v>
      </c>
      <c r="U5" s="151" t="n"/>
      <c r="V5" s="105" t="n">
        <v>0</v>
      </c>
      <c r="W5" s="151" t="n"/>
      <c r="X5" s="105" t="n">
        <v>0</v>
      </c>
      <c r="Y5" s="90" t="n"/>
      <c r="Z5" s="9" t="n"/>
      <c r="AA5" s="9" t="n"/>
    </row>
    <row r="6" ht="14.25" customHeight="1" s="527">
      <c r="E6" s="533" t="n"/>
      <c r="F6" s="101" t="inlineStr">
        <is>
          <t>一票制运费</t>
        </is>
      </c>
      <c r="G6" s="153" t="n"/>
      <c r="H6" s="105" t="n"/>
      <c r="I6" s="150" t="inlineStr">
        <is>
          <t>/</t>
        </is>
      </c>
      <c r="J6" s="105" t="n"/>
      <c r="K6" s="150" t="inlineStr">
        <is>
          <t>/</t>
        </is>
      </c>
      <c r="L6" s="105" t="n"/>
      <c r="M6" s="150" t="inlineStr">
        <is>
          <t>/</t>
        </is>
      </c>
      <c r="N6" s="105" t="n">
        <v>0</v>
      </c>
      <c r="O6" s="151" t="inlineStr">
        <is>
          <t>/</t>
        </is>
      </c>
      <c r="P6" s="105" t="n"/>
      <c r="Q6" s="151" t="inlineStr">
        <is>
          <t>/</t>
        </is>
      </c>
      <c r="R6" s="105" t="n"/>
      <c r="S6" s="151" t="inlineStr">
        <is>
          <t>/</t>
        </is>
      </c>
      <c r="T6" s="98" t="n">
        <v>0</v>
      </c>
      <c r="U6" s="151" t="inlineStr">
        <is>
          <t>/</t>
        </is>
      </c>
      <c r="V6" s="105" t="n">
        <v>0</v>
      </c>
      <c r="W6" s="151" t="n"/>
      <c r="X6" s="105" t="n"/>
      <c r="Y6" s="90" t="n"/>
      <c r="Z6" s="9" t="n"/>
      <c r="AA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53" t="n"/>
      <c r="H7" s="105" t="n">
        <v>0</v>
      </c>
      <c r="I7" s="150" t="inlineStr">
        <is>
          <t>/</t>
        </is>
      </c>
      <c r="J7" s="105" t="n">
        <v>0</v>
      </c>
      <c r="K7" s="150" t="inlineStr">
        <is>
          <t>/</t>
        </is>
      </c>
      <c r="L7" s="105" t="n">
        <v>0</v>
      </c>
      <c r="M7" s="150" t="inlineStr">
        <is>
          <t>/</t>
        </is>
      </c>
      <c r="N7" s="105" t="n">
        <v>0</v>
      </c>
      <c r="O7" s="151" t="inlineStr">
        <is>
          <t>/</t>
        </is>
      </c>
      <c r="P7" s="105" t="n">
        <v>0</v>
      </c>
      <c r="Q7" s="151" t="inlineStr">
        <is>
          <t>/</t>
        </is>
      </c>
      <c r="R7" s="105" t="n">
        <v>0</v>
      </c>
      <c r="S7" s="151" t="inlineStr">
        <is>
          <t>/</t>
        </is>
      </c>
      <c r="T7" s="98" t="n">
        <v>0</v>
      </c>
      <c r="U7" s="151" t="inlineStr">
        <is>
          <t>/</t>
        </is>
      </c>
      <c r="V7" s="105" t="n">
        <v>0</v>
      </c>
      <c r="W7" s="151" t="inlineStr">
        <is>
          <t>/</t>
        </is>
      </c>
      <c r="X7" s="105" t="n">
        <v>0</v>
      </c>
      <c r="Y7" s="90" t="inlineStr">
        <is>
          <t>/</t>
        </is>
      </c>
      <c r="Z7" s="9" t="n"/>
      <c r="AA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前楼</t>
        </is>
      </c>
      <c r="I8" s="150" t="inlineStr">
        <is>
          <t>网差</t>
        </is>
      </c>
      <c r="J8" s="92" t="inlineStr">
        <is>
          <t>双宇</t>
        </is>
      </c>
      <c r="K8" s="150" t="inlineStr">
        <is>
          <t>网差</t>
        </is>
      </c>
      <c r="L8" s="92" t="inlineStr">
        <is>
          <t>鼎盛</t>
        </is>
      </c>
      <c r="M8" s="150" t="inlineStr">
        <is>
          <t>网差</t>
        </is>
      </c>
      <c r="N8" s="92" t="inlineStr">
        <is>
          <t>钢晨</t>
        </is>
      </c>
      <c r="O8" s="151" t="inlineStr">
        <is>
          <t>网差</t>
        </is>
      </c>
      <c r="P8" s="92" t="inlineStr">
        <is>
          <t>钢成</t>
        </is>
      </c>
      <c r="Q8" s="151" t="inlineStr">
        <is>
          <t>网差</t>
        </is>
      </c>
      <c r="R8" s="92" t="inlineStr">
        <is>
          <t>金钢</t>
        </is>
      </c>
      <c r="S8" s="151" t="inlineStr">
        <is>
          <t>网差</t>
        </is>
      </c>
      <c r="T8" s="92" t="inlineStr">
        <is>
          <t>金康</t>
        </is>
      </c>
      <c r="U8" s="151" t="inlineStr">
        <is>
          <t>网差</t>
        </is>
      </c>
      <c r="V8" s="92" t="inlineStr">
        <is>
          <t>双宇</t>
        </is>
      </c>
      <c r="W8" s="151" t="inlineStr">
        <is>
          <t>网差</t>
        </is>
      </c>
      <c r="X8" s="92" t="inlineStr">
        <is>
          <t>工程户</t>
        </is>
      </c>
      <c r="Y8" s="90" t="inlineStr">
        <is>
          <t>网差</t>
        </is>
      </c>
      <c r="Z8" s="9" t="inlineStr">
        <is>
          <t>正常级差</t>
        </is>
      </c>
      <c r="AA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110">
        <f>G2+60+G6</f>
        <v/>
      </c>
      <c r="H9" s="21">
        <f>H2+60+H6</f>
        <v/>
      </c>
      <c r="I9" s="154">
        <f>G9-H9</f>
        <v/>
      </c>
      <c r="J9" s="21">
        <f>J2+60+J6</f>
        <v/>
      </c>
      <c r="K9" s="154">
        <f>G9-J9</f>
        <v/>
      </c>
      <c r="L9" s="21">
        <f>L2+60+L6</f>
        <v/>
      </c>
      <c r="M9" s="154">
        <f>G9-L9</f>
        <v/>
      </c>
      <c r="N9" s="21">
        <f>N2+60+N6</f>
        <v/>
      </c>
      <c r="O9" s="456">
        <f>G9-N9</f>
        <v/>
      </c>
      <c r="P9" s="21">
        <f>P2+60+P6</f>
        <v/>
      </c>
      <c r="Q9" s="456">
        <f>G9-P9</f>
        <v/>
      </c>
      <c r="R9" s="21">
        <f>R2+60+R6</f>
        <v/>
      </c>
      <c r="S9" s="456">
        <f>G9-R9</f>
        <v/>
      </c>
      <c r="T9" s="21">
        <f>T2+60+T6</f>
        <v/>
      </c>
      <c r="U9" s="456">
        <f>G9-T9</f>
        <v/>
      </c>
      <c r="V9" s="21">
        <f>V2+60+V6</f>
        <v/>
      </c>
      <c r="W9" s="456">
        <f>G9-V9</f>
        <v/>
      </c>
      <c r="X9" s="21">
        <f>X2+60+X6-150-20</f>
        <v/>
      </c>
      <c r="Y9" s="513">
        <f>G9-X9</f>
        <v/>
      </c>
      <c r="Z9" s="108">
        <f>Z2+60+Z6</f>
        <v/>
      </c>
      <c r="AA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110">
        <f>G2+G6</f>
        <v/>
      </c>
      <c r="H10" s="21">
        <f>H2+H6</f>
        <v/>
      </c>
      <c r="I10" s="154">
        <f>G10-H10</f>
        <v/>
      </c>
      <c r="J10" s="21">
        <f>J2+J6</f>
        <v/>
      </c>
      <c r="K10" s="154">
        <f>G10-J10</f>
        <v/>
      </c>
      <c r="L10" s="21">
        <f>L2+L6</f>
        <v/>
      </c>
      <c r="M10" s="154">
        <f>G10-L10</f>
        <v/>
      </c>
      <c r="N10" s="21">
        <f>N2+N6</f>
        <v/>
      </c>
      <c r="O10" s="456">
        <f>G10-N10</f>
        <v/>
      </c>
      <c r="P10" s="21">
        <f>P2+P6</f>
        <v/>
      </c>
      <c r="Q10" s="456">
        <f>G10-P10</f>
        <v/>
      </c>
      <c r="R10" s="21">
        <f>R2+R6</f>
        <v/>
      </c>
      <c r="S10" s="456">
        <f>G10-R10</f>
        <v/>
      </c>
      <c r="T10" s="21">
        <f>T2+T6</f>
        <v/>
      </c>
      <c r="U10" s="456">
        <f>G10-T10</f>
        <v/>
      </c>
      <c r="V10" s="21">
        <f>V2+V6</f>
        <v/>
      </c>
      <c r="W10" s="456">
        <f>G10-V10</f>
        <v/>
      </c>
      <c r="X10" s="21">
        <f>X2+X6-150-20</f>
        <v/>
      </c>
      <c r="Y10" s="513">
        <f>G10-X10</f>
        <v/>
      </c>
      <c r="Z10" s="108">
        <f>Z2+Z6</f>
        <v/>
      </c>
      <c r="AA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120">
        <f>G2+G6</f>
        <v/>
      </c>
      <c r="H11" s="119">
        <f>H2+H6</f>
        <v/>
      </c>
      <c r="I11" s="154">
        <f>G11-H11</f>
        <v/>
      </c>
      <c r="J11" s="119">
        <f>J2+J6</f>
        <v/>
      </c>
      <c r="K11" s="154">
        <f>G11-J11</f>
        <v/>
      </c>
      <c r="L11" s="119">
        <f>L2+L6</f>
        <v/>
      </c>
      <c r="M11" s="154">
        <f>G11-L11</f>
        <v/>
      </c>
      <c r="N11" s="119">
        <f>N2+N6</f>
        <v/>
      </c>
      <c r="O11" s="456">
        <f>G11-N11</f>
        <v/>
      </c>
      <c r="P11" s="119">
        <f>P2+P6</f>
        <v/>
      </c>
      <c r="Q11" s="456">
        <f>G11-P11</f>
        <v/>
      </c>
      <c r="R11" s="119">
        <f>R2+R6</f>
        <v/>
      </c>
      <c r="S11" s="456">
        <f>G11-R11</f>
        <v/>
      </c>
      <c r="T11" s="119">
        <f>T2+T6</f>
        <v/>
      </c>
      <c r="U11" s="456">
        <f>G11-T11</f>
        <v/>
      </c>
      <c r="V11" s="119">
        <f>V2+V6</f>
        <v/>
      </c>
      <c r="W11" s="456">
        <f>G11-V11</f>
        <v/>
      </c>
      <c r="X11" s="119">
        <f>X2+X6-150-20</f>
        <v/>
      </c>
      <c r="Y11" s="155">
        <f>G11-X11</f>
        <v/>
      </c>
      <c r="Z11" s="114">
        <f>Z2+Z6</f>
        <v/>
      </c>
      <c r="AA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110">
        <f>G3+400+G6</f>
        <v/>
      </c>
      <c r="H12" s="21">
        <f>H3+400+H6</f>
        <v/>
      </c>
      <c r="I12" s="154">
        <f>G12-H12</f>
        <v/>
      </c>
      <c r="J12" s="21">
        <f>J3+400+J6</f>
        <v/>
      </c>
      <c r="K12" s="154">
        <f>G12-J12</f>
        <v/>
      </c>
      <c r="L12" s="21">
        <f>L3+400+L6</f>
        <v/>
      </c>
      <c r="M12" s="154">
        <f>G12-L12</f>
        <v/>
      </c>
      <c r="N12" s="21">
        <f>N3+400+N6</f>
        <v/>
      </c>
      <c r="O12" s="456">
        <f>G12-N12</f>
        <v/>
      </c>
      <c r="P12" s="21">
        <f>P3+400+P6</f>
        <v/>
      </c>
      <c r="Q12" s="456">
        <f>G12-P12</f>
        <v/>
      </c>
      <c r="R12" s="21">
        <f>R3+400+R6</f>
        <v/>
      </c>
      <c r="S12" s="456">
        <f>G12-R12</f>
        <v/>
      </c>
      <c r="T12" s="21">
        <f>T3+400+T6</f>
        <v/>
      </c>
      <c r="U12" s="456">
        <f>G12-T12</f>
        <v/>
      </c>
      <c r="V12" s="21">
        <f>V3+400+V6</f>
        <v/>
      </c>
      <c r="W12" s="456">
        <f>G12-V12</f>
        <v/>
      </c>
      <c r="X12" s="21">
        <f>X3+400+X6-150-20</f>
        <v/>
      </c>
      <c r="Y12" s="513">
        <f>G12-X12</f>
        <v/>
      </c>
      <c r="Z12" s="108">
        <f>Z3+400+Z6</f>
        <v/>
      </c>
      <c r="AA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441">
        <f>G3+G6+G7</f>
        <v/>
      </c>
      <c r="H13" s="450">
        <f>H3+H6</f>
        <v/>
      </c>
      <c r="I13" s="154">
        <f>G13-H13</f>
        <v/>
      </c>
      <c r="J13" s="450">
        <f>J3+J6</f>
        <v/>
      </c>
      <c r="K13" s="154">
        <f>G13-J13</f>
        <v/>
      </c>
      <c r="L13" s="450">
        <f>L3+L6</f>
        <v/>
      </c>
      <c r="M13" s="154">
        <f>G13-L13</f>
        <v/>
      </c>
      <c r="N13" s="450">
        <f>N3+N6</f>
        <v/>
      </c>
      <c r="O13" s="456">
        <f>G13-N13</f>
        <v/>
      </c>
      <c r="P13" s="450">
        <f>P3+P6</f>
        <v/>
      </c>
      <c r="Q13" s="456">
        <f>G13-P13</f>
        <v/>
      </c>
      <c r="R13" s="450">
        <f>R3+R6</f>
        <v/>
      </c>
      <c r="S13" s="456">
        <f>G13-R13</f>
        <v/>
      </c>
      <c r="T13" s="450">
        <f>T3+T6</f>
        <v/>
      </c>
      <c r="U13" s="456">
        <f>G13-T13</f>
        <v/>
      </c>
      <c r="V13" s="450">
        <f>V3+V6</f>
        <v/>
      </c>
      <c r="W13" s="456">
        <f>G13-V13</f>
        <v/>
      </c>
      <c r="X13" s="450">
        <f>X3+X6+X7-150-20</f>
        <v/>
      </c>
      <c r="Y13" s="513">
        <f>G13-X13</f>
        <v/>
      </c>
      <c r="Z13" s="194">
        <f>Z3+Z6+Z7</f>
        <v/>
      </c>
      <c r="AA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56">
        <f>G3+G6+G7</f>
        <v/>
      </c>
      <c r="H14" s="157">
        <f>H3+H6+H7</f>
        <v/>
      </c>
      <c r="I14" s="154">
        <f>G14-H14</f>
        <v/>
      </c>
      <c r="J14" s="157">
        <f>J3+J6+J7</f>
        <v/>
      </c>
      <c r="K14" s="154">
        <f>G14-J14</f>
        <v/>
      </c>
      <c r="L14" s="157">
        <f>L3+L6+L7</f>
        <v/>
      </c>
      <c r="M14" s="154">
        <f>G14-L14</f>
        <v/>
      </c>
      <c r="N14" s="157">
        <f>N3+N6+N7</f>
        <v/>
      </c>
      <c r="O14" s="456">
        <f>G14-N14</f>
        <v/>
      </c>
      <c r="P14" s="157">
        <f>P3+P6+P7</f>
        <v/>
      </c>
      <c r="Q14" s="456">
        <f>G14-P14</f>
        <v/>
      </c>
      <c r="R14" s="157">
        <f>R3+R6+R7</f>
        <v/>
      </c>
      <c r="S14" s="456">
        <f>G14-R14</f>
        <v/>
      </c>
      <c r="T14" s="157">
        <f>T3+T6+T7</f>
        <v/>
      </c>
      <c r="U14" s="456">
        <f>G14-T14</f>
        <v/>
      </c>
      <c r="V14" s="157">
        <f>V3+V6+V7</f>
        <v/>
      </c>
      <c r="W14" s="456">
        <f>G14-V14</f>
        <v/>
      </c>
      <c r="X14" s="157">
        <f>X3+X6+X7-150-20</f>
        <v/>
      </c>
      <c r="Y14" s="155">
        <f>G14-X14</f>
        <v/>
      </c>
      <c r="Z14" s="124">
        <f>Z3+Z6+Z7</f>
        <v/>
      </c>
      <c r="AA14" s="124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441" t="inlineStr">
        <is>
          <t>/</t>
        </is>
      </c>
      <c r="H15" s="441" t="n"/>
      <c r="I15" s="456">
        <f>G15-H15</f>
        <v/>
      </c>
      <c r="J15" s="441" t="n"/>
      <c r="K15" s="456" t="n"/>
      <c r="L15" s="441" t="n"/>
      <c r="M15" s="456" t="n"/>
      <c r="N15" s="441" t="n"/>
      <c r="O15" s="456" t="n"/>
      <c r="P15" s="441" t="n"/>
      <c r="Q15" s="456" t="n"/>
      <c r="R15" s="441" t="n"/>
      <c r="S15" s="456" t="n"/>
      <c r="T15" s="441" t="n"/>
      <c r="U15" s="456" t="n"/>
      <c r="V15" s="441" t="n"/>
      <c r="W15" s="456" t="n"/>
      <c r="X15" s="450" t="n"/>
      <c r="Y15" s="513" t="n"/>
      <c r="Z15" s="194" t="n"/>
      <c r="AA15" s="194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441">
        <f>G4+G6+G7+120</f>
        <v/>
      </c>
      <c r="H16" s="441">
        <f>H4+H6+H7+120</f>
        <v/>
      </c>
      <c r="I16" s="154">
        <f>G16-H16</f>
        <v/>
      </c>
      <c r="J16" s="441">
        <f>J4+J6+J7+120</f>
        <v/>
      </c>
      <c r="K16" s="154">
        <f>G16-J16</f>
        <v/>
      </c>
      <c r="L16" s="441">
        <f>L4+L6+L7+120</f>
        <v/>
      </c>
      <c r="M16" s="154">
        <f>G16-L16</f>
        <v/>
      </c>
      <c r="N16" s="441">
        <f>N4+N6+N7+120</f>
        <v/>
      </c>
      <c r="O16" s="456">
        <f>G16-N16</f>
        <v/>
      </c>
      <c r="P16" s="441">
        <f>P4+P6+P7+120</f>
        <v/>
      </c>
      <c r="Q16" s="456">
        <f>G16-P16</f>
        <v/>
      </c>
      <c r="R16" s="441">
        <f>R4+R6+R7+120</f>
        <v/>
      </c>
      <c r="S16" s="456">
        <f>G16-R16</f>
        <v/>
      </c>
      <c r="T16" s="441">
        <f>T4+T6+T7+120</f>
        <v/>
      </c>
      <c r="U16" s="456">
        <f>G16-T16</f>
        <v/>
      </c>
      <c r="V16" s="441">
        <f>V4+V6+V7+120</f>
        <v/>
      </c>
      <c r="W16" s="456">
        <f>G16-V16</f>
        <v/>
      </c>
      <c r="X16" s="450">
        <f>X4+X6+X7+130-150-20</f>
        <v/>
      </c>
      <c r="Y16" s="513">
        <f>G16-X16</f>
        <v/>
      </c>
      <c r="Z16" s="194">
        <f>Z3+Z5+Z6+120</f>
        <v/>
      </c>
      <c r="AA16" s="194" t="n">
        <v>1.758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41">
        <f>G4+G6+G7+120</f>
        <v/>
      </c>
      <c r="H17" s="441">
        <f>H4+H6+H7+120</f>
        <v/>
      </c>
      <c r="I17" s="154">
        <f>G17-H17</f>
        <v/>
      </c>
      <c r="J17" s="441">
        <f>J4+J6+J7+120</f>
        <v/>
      </c>
      <c r="K17" s="154">
        <f>G17-J17</f>
        <v/>
      </c>
      <c r="L17" s="441">
        <f>L4+L6+L7+120</f>
        <v/>
      </c>
      <c r="M17" s="154">
        <f>G17-L17</f>
        <v/>
      </c>
      <c r="N17" s="441">
        <f>N4+N6+N7+120</f>
        <v/>
      </c>
      <c r="O17" s="456">
        <f>G17-N17</f>
        <v/>
      </c>
      <c r="P17" s="441">
        <f>P4+P6+P7+120</f>
        <v/>
      </c>
      <c r="Q17" s="456">
        <f>G17-P17</f>
        <v/>
      </c>
      <c r="R17" s="441">
        <f>R4+R6+R7+120</f>
        <v/>
      </c>
      <c r="S17" s="456">
        <f>G17-R17</f>
        <v/>
      </c>
      <c r="T17" s="441">
        <f>T4+T6+T7+120</f>
        <v/>
      </c>
      <c r="U17" s="456">
        <f>G17-T17</f>
        <v/>
      </c>
      <c r="V17" s="441">
        <f>V4+V6+V7+120</f>
        <v/>
      </c>
      <c r="W17" s="456">
        <f>G17-V17</f>
        <v/>
      </c>
      <c r="X17" s="450">
        <f>X4+X6+X7+130-150-20</f>
        <v/>
      </c>
      <c r="Y17" s="513">
        <f>G17-X17</f>
        <v/>
      </c>
      <c r="Z17" s="194">
        <f>Z3+Z5+Z6+120</f>
        <v/>
      </c>
      <c r="AA17" s="194" t="n">
        <v>1.705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41">
        <f>G4+G6+G7+60</f>
        <v/>
      </c>
      <c r="H18" s="441">
        <f>H4+H6+H7+60</f>
        <v/>
      </c>
      <c r="I18" s="154">
        <f>G18-H18</f>
        <v/>
      </c>
      <c r="J18" s="441">
        <f>J4+J6+J7+60</f>
        <v/>
      </c>
      <c r="K18" s="154">
        <f>G18-J18</f>
        <v/>
      </c>
      <c r="L18" s="441">
        <f>L4+L6+L7+60</f>
        <v/>
      </c>
      <c r="M18" s="154">
        <f>G18-L18</f>
        <v/>
      </c>
      <c r="N18" s="441">
        <f>N4+N6+N7+60</f>
        <v/>
      </c>
      <c r="O18" s="456">
        <f>G18-N18</f>
        <v/>
      </c>
      <c r="P18" s="441">
        <f>P4+P6+P7+60</f>
        <v/>
      </c>
      <c r="Q18" s="456">
        <f>G18-P18</f>
        <v/>
      </c>
      <c r="R18" s="441">
        <f>R4+R6+R7+60</f>
        <v/>
      </c>
      <c r="S18" s="456">
        <f>G18-R18</f>
        <v/>
      </c>
      <c r="T18" s="441">
        <f>T4+T6+T7+60</f>
        <v/>
      </c>
      <c r="U18" s="456">
        <f>G18-T18</f>
        <v/>
      </c>
      <c r="V18" s="441">
        <f>V4+V6+V7+60</f>
        <v/>
      </c>
      <c r="W18" s="456">
        <f>G18-V18</f>
        <v/>
      </c>
      <c r="X18" s="450">
        <f>X4+X6+X7+50-150-20</f>
        <v/>
      </c>
      <c r="Y18" s="513">
        <f>G18-X18</f>
        <v/>
      </c>
      <c r="Z18" s="194">
        <f>Z3+Z5+Z6+60</f>
        <v/>
      </c>
      <c r="AA18" s="194" t="n">
        <v>1.742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41">
        <f>G4+G6+G7+60</f>
        <v/>
      </c>
      <c r="H19" s="441">
        <f>H4+H6+H7+60</f>
        <v/>
      </c>
      <c r="I19" s="154">
        <f>G19-H19</f>
        <v/>
      </c>
      <c r="J19" s="441">
        <f>J4+J6+J7+60</f>
        <v/>
      </c>
      <c r="K19" s="154">
        <f>G19-J19</f>
        <v/>
      </c>
      <c r="L19" s="441">
        <f>L4+L6+L7+60</f>
        <v/>
      </c>
      <c r="M19" s="154">
        <f>G19-L19</f>
        <v/>
      </c>
      <c r="N19" s="441">
        <f>N4+N6+N7+60</f>
        <v/>
      </c>
      <c r="O19" s="456">
        <f>G19-N19</f>
        <v/>
      </c>
      <c r="P19" s="441">
        <f>P4+P6+P7+60</f>
        <v/>
      </c>
      <c r="Q19" s="456">
        <f>G19-P19</f>
        <v/>
      </c>
      <c r="R19" s="441">
        <f>R4+R6+R7+60</f>
        <v/>
      </c>
      <c r="S19" s="456">
        <f>G19-R19</f>
        <v/>
      </c>
      <c r="T19" s="441">
        <f>T4+T6+T7+60</f>
        <v/>
      </c>
      <c r="U19" s="456">
        <f>G19-T19</f>
        <v/>
      </c>
      <c r="V19" s="441">
        <f>V4+V6+V7+60</f>
        <v/>
      </c>
      <c r="W19" s="456">
        <f>G19-V19</f>
        <v/>
      </c>
      <c r="X19" s="450">
        <f>X4+X6+X7+50-150-20</f>
        <v/>
      </c>
      <c r="Y19" s="513">
        <f>G19-X19</f>
        <v/>
      </c>
      <c r="Z19" s="194">
        <f>Z3+Z5+Z6+60</f>
        <v/>
      </c>
      <c r="AA19" s="194" t="n">
        <v>2.033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441">
        <f>G4+G6+G7+50+20</f>
        <v/>
      </c>
      <c r="H20" s="441">
        <f>H4+H6+H7+50</f>
        <v/>
      </c>
      <c r="I20" s="154">
        <f>G20-H20</f>
        <v/>
      </c>
      <c r="J20" s="441">
        <f>J4+J6+J7+50</f>
        <v/>
      </c>
      <c r="K20" s="154">
        <f>G20-J20</f>
        <v/>
      </c>
      <c r="L20" s="441">
        <f>L4+L6+L7+50</f>
        <v/>
      </c>
      <c r="M20" s="154">
        <f>G20-L20</f>
        <v/>
      </c>
      <c r="N20" s="441">
        <f>N4+N6+N7+50</f>
        <v/>
      </c>
      <c r="O20" s="456">
        <f>G20-N20</f>
        <v/>
      </c>
      <c r="P20" s="441">
        <f>P4+P6+P7+50</f>
        <v/>
      </c>
      <c r="Q20" s="456">
        <f>G20-P20</f>
        <v/>
      </c>
      <c r="R20" s="441">
        <f>R4+R6+R7+50</f>
        <v/>
      </c>
      <c r="S20" s="456">
        <f>G20-R20</f>
        <v/>
      </c>
      <c r="T20" s="441">
        <f>T4+T6+T7+50</f>
        <v/>
      </c>
      <c r="U20" s="456">
        <f>G20-T20</f>
        <v/>
      </c>
      <c r="V20" s="441">
        <f>V4+V6+V7+50</f>
        <v/>
      </c>
      <c r="W20" s="456">
        <f>G20-V20</f>
        <v/>
      </c>
      <c r="X20" s="450">
        <f>X4+X6+X7+40-150-20</f>
        <v/>
      </c>
      <c r="Y20" s="513">
        <f>G20-X20</f>
        <v/>
      </c>
      <c r="Z20" s="194">
        <f>Z3+Z5+Z6+50</f>
        <v/>
      </c>
      <c r="AA20" s="194" t="n">
        <v>2.133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441">
        <f>G4+G6+G7+50+20</f>
        <v/>
      </c>
      <c r="H21" s="441">
        <f>H4+H6+H7+50</f>
        <v/>
      </c>
      <c r="I21" s="154">
        <f>G21-H21</f>
        <v/>
      </c>
      <c r="J21" s="441">
        <f>J4+J6+J7+50</f>
        <v/>
      </c>
      <c r="K21" s="154">
        <f>G21-J21</f>
        <v/>
      </c>
      <c r="L21" s="441">
        <f>L4+L6+L7+50</f>
        <v/>
      </c>
      <c r="M21" s="154">
        <f>G21-L21</f>
        <v/>
      </c>
      <c r="N21" s="441">
        <f>N4+N6+N7+50</f>
        <v/>
      </c>
      <c r="O21" s="456">
        <f>G21-N21</f>
        <v/>
      </c>
      <c r="P21" s="441">
        <f>P4+P6+P7+50</f>
        <v/>
      </c>
      <c r="Q21" s="456">
        <f>G21-P21</f>
        <v/>
      </c>
      <c r="R21" s="441">
        <f>R4+R6+R7+50</f>
        <v/>
      </c>
      <c r="S21" s="456">
        <f>G21-R21</f>
        <v/>
      </c>
      <c r="T21" s="441">
        <f>T4+T6+T7+50</f>
        <v/>
      </c>
      <c r="U21" s="456">
        <f>G21-T21</f>
        <v/>
      </c>
      <c r="V21" s="441">
        <f>V4+V6+V7+50</f>
        <v/>
      </c>
      <c r="W21" s="456">
        <f>G21-V21</f>
        <v/>
      </c>
      <c r="X21" s="450">
        <f>X4+X6+X7+40-150-20</f>
        <v/>
      </c>
      <c r="Y21" s="513">
        <f>G21-X21</f>
        <v/>
      </c>
      <c r="Z21" s="194">
        <f>Z3+Z5+Z6+50</f>
        <v/>
      </c>
      <c r="AA21" s="194" t="n">
        <v>2.37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56">
        <f>G4+G6+G7</f>
        <v/>
      </c>
      <c r="H22" s="156">
        <f>H4+H6+H7</f>
        <v/>
      </c>
      <c r="I22" s="154">
        <f>G22-H22</f>
        <v/>
      </c>
      <c r="J22" s="156">
        <f>J4+J6+J7</f>
        <v/>
      </c>
      <c r="K22" s="154">
        <f>G22-J22</f>
        <v/>
      </c>
      <c r="L22" s="156">
        <f>L4+L6+L7</f>
        <v/>
      </c>
      <c r="M22" s="154">
        <f>G22-L22</f>
        <v/>
      </c>
      <c r="N22" s="156">
        <f>N4+N6+N7</f>
        <v/>
      </c>
      <c r="O22" s="456">
        <f>G22-N22</f>
        <v/>
      </c>
      <c r="P22" s="156">
        <f>P4+P6+P7</f>
        <v/>
      </c>
      <c r="Q22" s="456">
        <f>G22-P22</f>
        <v/>
      </c>
      <c r="R22" s="156">
        <f>R4+R6+R7</f>
        <v/>
      </c>
      <c r="S22" s="456">
        <f>G22-R22</f>
        <v/>
      </c>
      <c r="T22" s="156">
        <f>T4+T6+T7</f>
        <v/>
      </c>
      <c r="U22" s="456">
        <f>G22-T22</f>
        <v/>
      </c>
      <c r="V22" s="156">
        <f>V4+V6+V7</f>
        <v/>
      </c>
      <c r="W22" s="456">
        <f>G22-V22</f>
        <v/>
      </c>
      <c r="X22" s="157">
        <f>X4+X6+X7-150-20</f>
        <v/>
      </c>
      <c r="Y22" s="155">
        <f>G22-X22</f>
        <v/>
      </c>
      <c r="Z22" s="124">
        <f>Z3+Z5+Z6</f>
        <v/>
      </c>
      <c r="AA22" s="124" t="n">
        <v>2.34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56">
        <f>G4+G6+G7</f>
        <v/>
      </c>
      <c r="H23" s="156">
        <f>H4+H6+H7</f>
        <v/>
      </c>
      <c r="I23" s="154">
        <f>G23-H23</f>
        <v/>
      </c>
      <c r="J23" s="156">
        <f>J4+J6+J7</f>
        <v/>
      </c>
      <c r="K23" s="154">
        <f>G23-J23</f>
        <v/>
      </c>
      <c r="L23" s="156">
        <f>L4+L6+L7</f>
        <v/>
      </c>
      <c r="M23" s="154">
        <f>G23-L23</f>
        <v/>
      </c>
      <c r="N23" s="156">
        <f>N4+N6+N7</f>
        <v/>
      </c>
      <c r="O23" s="456">
        <f>G23-N23</f>
        <v/>
      </c>
      <c r="P23" s="156">
        <f>P4+P6+P7</f>
        <v/>
      </c>
      <c r="Q23" s="456">
        <f>G23-P23</f>
        <v/>
      </c>
      <c r="R23" s="156">
        <f>R4+R6+R7</f>
        <v/>
      </c>
      <c r="S23" s="456">
        <f>G23-R23</f>
        <v/>
      </c>
      <c r="T23" s="156">
        <f>T4+T6+T7</f>
        <v/>
      </c>
      <c r="U23" s="456">
        <f>G23-T23</f>
        <v/>
      </c>
      <c r="V23" s="156">
        <f>V4+V6+V7</f>
        <v/>
      </c>
      <c r="W23" s="456">
        <f>G23-V23</f>
        <v/>
      </c>
      <c r="X23" s="157">
        <f>X4+X6+X7-150-20</f>
        <v/>
      </c>
      <c r="Y23" s="155">
        <f>G23-X23</f>
        <v/>
      </c>
      <c r="Z23" s="124">
        <f>Z3+Z5+Z6</f>
        <v/>
      </c>
      <c r="AA23" s="124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441">
        <f>G4+G6+G7+50+20</f>
        <v/>
      </c>
      <c r="H24" s="441">
        <f>H4+H6+H7+50</f>
        <v/>
      </c>
      <c r="I24" s="154">
        <f>G24-H24</f>
        <v/>
      </c>
      <c r="J24" s="441">
        <f>J4+J6+J7+50</f>
        <v/>
      </c>
      <c r="K24" s="154">
        <f>G24-J24</f>
        <v/>
      </c>
      <c r="L24" s="441">
        <f>L4+L6+L7+50</f>
        <v/>
      </c>
      <c r="M24" s="154">
        <f>G24-L24</f>
        <v/>
      </c>
      <c r="N24" s="441">
        <f>N4+N6+N7+50</f>
        <v/>
      </c>
      <c r="O24" s="456">
        <f>G24-N24</f>
        <v/>
      </c>
      <c r="P24" s="441">
        <f>P4+P6+P7+50</f>
        <v/>
      </c>
      <c r="Q24" s="456">
        <f>G24-P24</f>
        <v/>
      </c>
      <c r="R24" s="441">
        <f>R4+R6+R7+50</f>
        <v/>
      </c>
      <c r="S24" s="456">
        <f>G24-R24</f>
        <v/>
      </c>
      <c r="T24" s="441">
        <f>T4+T6+T7+50</f>
        <v/>
      </c>
      <c r="U24" s="456">
        <f>G24-T24</f>
        <v/>
      </c>
      <c r="V24" s="441">
        <f>V4+V6+V7+50</f>
        <v/>
      </c>
      <c r="W24" s="456">
        <f>G24-V24</f>
        <v/>
      </c>
      <c r="X24" s="450">
        <f>X4+X6+X7+40-150-20</f>
        <v/>
      </c>
      <c r="Y24" s="513">
        <f>G24-X24</f>
        <v/>
      </c>
      <c r="Z24" s="194">
        <f>Z3+Z5+Z6+50</f>
        <v/>
      </c>
      <c r="AA24" s="194" t="n">
        <v>2.668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441">
        <f>G4+G6+G7+50+20</f>
        <v/>
      </c>
      <c r="H25" s="441">
        <f>H4+H6+H7+50</f>
        <v/>
      </c>
      <c r="I25" s="154">
        <f>G25-H25</f>
        <v/>
      </c>
      <c r="J25" s="441">
        <f>J4+J6+J7+50</f>
        <v/>
      </c>
      <c r="K25" s="154">
        <f>G25-J25</f>
        <v/>
      </c>
      <c r="L25" s="441">
        <f>L4+L6+L7+50</f>
        <v/>
      </c>
      <c r="M25" s="154">
        <f>G25-L25</f>
        <v/>
      </c>
      <c r="N25" s="441">
        <f>N4+N6+N7+50</f>
        <v/>
      </c>
      <c r="O25" s="456">
        <f>G25-N25</f>
        <v/>
      </c>
      <c r="P25" s="441">
        <f>P4+P6+P7+50</f>
        <v/>
      </c>
      <c r="Q25" s="456">
        <f>G25-P25</f>
        <v/>
      </c>
      <c r="R25" s="441">
        <f>R4+R6+R7+50</f>
        <v/>
      </c>
      <c r="S25" s="456">
        <f>G25-R25</f>
        <v/>
      </c>
      <c r="T25" s="441">
        <f>T4+T6+T7+50</f>
        <v/>
      </c>
      <c r="U25" s="456">
        <f>G25-T25</f>
        <v/>
      </c>
      <c r="V25" s="441">
        <f>V4+V6+V7+50</f>
        <v/>
      </c>
      <c r="W25" s="456">
        <f>G25-V25</f>
        <v/>
      </c>
      <c r="X25" s="450">
        <f>X4+X6+X7+40-150-20</f>
        <v/>
      </c>
      <c r="Y25" s="513">
        <f>G25-X25</f>
        <v/>
      </c>
      <c r="Z25" s="194">
        <f>Z3+Z5+Z6+50</f>
        <v/>
      </c>
      <c r="AA25" s="194" t="n">
        <v>2.668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441">
        <f>G4+G6+G7+50+20</f>
        <v/>
      </c>
      <c r="H26" s="441">
        <f>H4+H6+H7+50</f>
        <v/>
      </c>
      <c r="I26" s="154">
        <f>G26-H26</f>
        <v/>
      </c>
      <c r="J26" s="441">
        <f>J4+J6+J7+50</f>
        <v/>
      </c>
      <c r="K26" s="154">
        <f>G26-J26</f>
        <v/>
      </c>
      <c r="L26" s="441">
        <f>L4+L6+L7+50</f>
        <v/>
      </c>
      <c r="M26" s="154">
        <f>G26-L26</f>
        <v/>
      </c>
      <c r="N26" s="441">
        <f>N4+N6+N7+50</f>
        <v/>
      </c>
      <c r="O26" s="456">
        <f>G26-N26</f>
        <v/>
      </c>
      <c r="P26" s="441">
        <f>P4+P6+P7+50</f>
        <v/>
      </c>
      <c r="Q26" s="456">
        <f>G26-P26</f>
        <v/>
      </c>
      <c r="R26" s="441">
        <f>R4+R6+R7+50</f>
        <v/>
      </c>
      <c r="S26" s="456">
        <f>G26-R26</f>
        <v/>
      </c>
      <c r="T26" s="441">
        <f>T4+T6+T7+50</f>
        <v/>
      </c>
      <c r="U26" s="456">
        <f>G26-T26</f>
        <v/>
      </c>
      <c r="V26" s="441">
        <f>V4+V6+V7+50</f>
        <v/>
      </c>
      <c r="W26" s="456">
        <f>G26-V26</f>
        <v/>
      </c>
      <c r="X26" s="450">
        <f>X4+X6+X7+40-150-20</f>
        <v/>
      </c>
      <c r="Y26" s="513">
        <f>G26-X26</f>
        <v/>
      </c>
      <c r="Z26" s="194">
        <f>Z3+Z5+Z6+50</f>
        <v/>
      </c>
      <c r="AA26" s="194" t="n">
        <v>2.682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441">
        <f>G4+G6+G7+50+20</f>
        <v/>
      </c>
      <c r="H27" s="441">
        <f>H4+H6+H7+50</f>
        <v/>
      </c>
      <c r="I27" s="154">
        <f>G27-H27</f>
        <v/>
      </c>
      <c r="J27" s="441">
        <f>J4+J6+J7+50</f>
        <v/>
      </c>
      <c r="K27" s="154">
        <f>G27-J27</f>
        <v/>
      </c>
      <c r="L27" s="441">
        <f>L4+L6+L7+50</f>
        <v/>
      </c>
      <c r="M27" s="154">
        <f>G27-L27</f>
        <v/>
      </c>
      <c r="N27" s="441">
        <f>N4+N6+N7+50</f>
        <v/>
      </c>
      <c r="O27" s="456">
        <f>G27-N27</f>
        <v/>
      </c>
      <c r="P27" s="441">
        <f>P4+P6+P7+50</f>
        <v/>
      </c>
      <c r="Q27" s="456">
        <f>G27-P27</f>
        <v/>
      </c>
      <c r="R27" s="441">
        <f>R4+R6+R7+50</f>
        <v/>
      </c>
      <c r="S27" s="456">
        <f>G27-R27</f>
        <v/>
      </c>
      <c r="T27" s="441">
        <f>T4+T6+T7+50</f>
        <v/>
      </c>
      <c r="U27" s="456">
        <f>G27-T27</f>
        <v/>
      </c>
      <c r="V27" s="441">
        <f>V4+V6+V7+50</f>
        <v/>
      </c>
      <c r="W27" s="456">
        <f>G27-V27</f>
        <v/>
      </c>
      <c r="X27" s="450">
        <f>X4+X6+X7+40-150-20</f>
        <v/>
      </c>
      <c r="Y27" s="513">
        <f>G27-X27</f>
        <v/>
      </c>
      <c r="Z27" s="194">
        <f>Z3+Z5+Z6+50</f>
        <v/>
      </c>
      <c r="AA27" s="194" t="n">
        <v>2.682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41">
        <f>G4+G6+G7+80</f>
        <v/>
      </c>
      <c r="H28" s="441">
        <f>H4+H6+H7+80</f>
        <v/>
      </c>
      <c r="I28" s="154">
        <f>G28-H28</f>
        <v/>
      </c>
      <c r="J28" s="441">
        <f>J4+J6+J7+80</f>
        <v/>
      </c>
      <c r="K28" s="154">
        <f>G28-J28</f>
        <v/>
      </c>
      <c r="L28" s="441">
        <f>L4+L6+L7+80</f>
        <v/>
      </c>
      <c r="M28" s="154">
        <f>G28-L28</f>
        <v/>
      </c>
      <c r="N28" s="441">
        <f>N4+N6+N7+80</f>
        <v/>
      </c>
      <c r="O28" s="456">
        <f>G28-N28</f>
        <v/>
      </c>
      <c r="P28" s="441">
        <f>P4+P6+P7+80</f>
        <v/>
      </c>
      <c r="Q28" s="456">
        <f>G28-P28</f>
        <v/>
      </c>
      <c r="R28" s="441">
        <f>R4+R6+R7+80</f>
        <v/>
      </c>
      <c r="S28" s="456">
        <f>G28-R28</f>
        <v/>
      </c>
      <c r="T28" s="441">
        <f>T4+T6+T7+80</f>
        <v/>
      </c>
      <c r="U28" s="456">
        <f>G28-T28</f>
        <v/>
      </c>
      <c r="V28" s="441">
        <f>V4+V6+V7+80</f>
        <v/>
      </c>
      <c r="W28" s="456">
        <f>G28-V28</f>
        <v/>
      </c>
      <c r="X28" s="450">
        <f>X4+X6+X7+70-150-20</f>
        <v/>
      </c>
      <c r="Y28" s="513">
        <f>G28-X28</f>
        <v/>
      </c>
      <c r="Z28" s="194">
        <f>Z3+Z5+Z6+80</f>
        <v/>
      </c>
      <c r="AA28" s="194" t="n">
        <v>2.772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41">
        <f>G4+G6+G7+80</f>
        <v/>
      </c>
      <c r="H29" s="441">
        <f>H4+H6+H7+80</f>
        <v/>
      </c>
      <c r="I29" s="154">
        <f>G29-H29</f>
        <v/>
      </c>
      <c r="J29" s="441">
        <f>J4+J6+J7+80</f>
        <v/>
      </c>
      <c r="K29" s="154">
        <f>G29-J29</f>
        <v/>
      </c>
      <c r="L29" s="441">
        <f>L4+L6+L7+80</f>
        <v/>
      </c>
      <c r="M29" s="154">
        <f>G29-L29</f>
        <v/>
      </c>
      <c r="N29" s="441">
        <f>N4+N6+N7+80</f>
        <v/>
      </c>
      <c r="O29" s="456">
        <f>G29-N29</f>
        <v/>
      </c>
      <c r="P29" s="441">
        <f>P4+P6+P7+80</f>
        <v/>
      </c>
      <c r="Q29" s="456">
        <f>G29-P29</f>
        <v/>
      </c>
      <c r="R29" s="441">
        <f>R4+R6+R7+80</f>
        <v/>
      </c>
      <c r="S29" s="456">
        <f>G29-R29</f>
        <v/>
      </c>
      <c r="T29" s="441">
        <f>T4+T6+T7+80</f>
        <v/>
      </c>
      <c r="U29" s="456">
        <f>G29-T29</f>
        <v/>
      </c>
      <c r="V29" s="441">
        <f>V4+V6+V7+80</f>
        <v/>
      </c>
      <c r="W29" s="456">
        <f>G29-V29</f>
        <v/>
      </c>
      <c r="X29" s="450">
        <f>X4+X6+X7+70-150-20</f>
        <v/>
      </c>
      <c r="Y29" s="513">
        <f>G29-X29</f>
        <v/>
      </c>
      <c r="Z29" s="194">
        <f>Z3+Z5+Z6+80</f>
        <v/>
      </c>
      <c r="AA29" s="194" t="n">
        <v>2.772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41">
        <f>G4+G6+G7+150</f>
        <v/>
      </c>
      <c r="H30" s="441">
        <f>H4+H6+H7+150</f>
        <v/>
      </c>
      <c r="I30" s="154">
        <f>G30-H30</f>
        <v/>
      </c>
      <c r="J30" s="441">
        <f>J4+J6+J7+150</f>
        <v/>
      </c>
      <c r="K30" s="154">
        <f>G30-J30</f>
        <v/>
      </c>
      <c r="L30" s="441">
        <f>L4+L6+L7+150</f>
        <v/>
      </c>
      <c r="M30" s="154">
        <f>G30-L30</f>
        <v/>
      </c>
      <c r="N30" s="441">
        <f>N4+N6+N7+150</f>
        <v/>
      </c>
      <c r="O30" s="456">
        <f>G30-N30</f>
        <v/>
      </c>
      <c r="P30" s="441">
        <f>P4+P6+P7+150</f>
        <v/>
      </c>
      <c r="Q30" s="456">
        <f>G30-P30</f>
        <v/>
      </c>
      <c r="R30" s="441">
        <f>R4+R6+R7+150</f>
        <v/>
      </c>
      <c r="S30" s="456">
        <f>G30-R30</f>
        <v/>
      </c>
      <c r="T30" s="441">
        <f>T4+T6+T7+150</f>
        <v/>
      </c>
      <c r="U30" s="456">
        <f>G30-T30</f>
        <v/>
      </c>
      <c r="V30" s="441">
        <f>V4+V6+V7+150</f>
        <v/>
      </c>
      <c r="W30" s="456">
        <f>G30-V30</f>
        <v/>
      </c>
      <c r="X30" s="450">
        <f>X4+X6+X7+140-150-20</f>
        <v/>
      </c>
      <c r="Y30" s="513">
        <f>G30-X30</f>
        <v/>
      </c>
      <c r="Z30" s="194">
        <f>Z3+Z5+Z6+150</f>
        <v/>
      </c>
      <c r="AA30" s="194" t="n">
        <v>2.608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41">
        <f>G4+G6+G7+150</f>
        <v/>
      </c>
      <c r="H31" s="441">
        <f>H4+H6+H7+150</f>
        <v/>
      </c>
      <c r="I31" s="154">
        <f>G31-H31</f>
        <v/>
      </c>
      <c r="J31" s="441">
        <f>J4+J6+J7+150</f>
        <v/>
      </c>
      <c r="K31" s="154">
        <f>G31-J31</f>
        <v/>
      </c>
      <c r="L31" s="441">
        <f>L4+L6+L7+150</f>
        <v/>
      </c>
      <c r="M31" s="154">
        <f>G31-L31</f>
        <v/>
      </c>
      <c r="N31" s="441">
        <f>N4+N6+N7+150</f>
        <v/>
      </c>
      <c r="O31" s="456">
        <f>G31-N31</f>
        <v/>
      </c>
      <c r="P31" s="441">
        <f>P4+P6+P7+150</f>
        <v/>
      </c>
      <c r="Q31" s="456">
        <f>G31-P31</f>
        <v/>
      </c>
      <c r="R31" s="441">
        <f>R4+R6+R7+150</f>
        <v/>
      </c>
      <c r="S31" s="456">
        <f>G31-R31</f>
        <v/>
      </c>
      <c r="T31" s="441">
        <f>T4+T6+T7+150</f>
        <v/>
      </c>
      <c r="U31" s="456">
        <f>G31-T31</f>
        <v/>
      </c>
      <c r="V31" s="441">
        <f>V4+V6+V7+150</f>
        <v/>
      </c>
      <c r="W31" s="456">
        <f>G31-V31</f>
        <v/>
      </c>
      <c r="X31" s="450">
        <f>X4+X6+X7+140-150-20</f>
        <v/>
      </c>
      <c r="Y31" s="513">
        <f>G31-X31</f>
        <v/>
      </c>
      <c r="Z31" s="194">
        <f>Z3+Z5+Z6+150</f>
        <v/>
      </c>
      <c r="AA31" s="194" t="n">
        <v>2.608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41">
        <f>G4+G6+G7+150</f>
        <v/>
      </c>
      <c r="H32" s="441">
        <f>H4+H6+H7+150</f>
        <v/>
      </c>
      <c r="I32" s="154">
        <f>G32-H32</f>
        <v/>
      </c>
      <c r="J32" s="441">
        <f>J4+J6+J7+150</f>
        <v/>
      </c>
      <c r="K32" s="154">
        <f>G32-J32</f>
        <v/>
      </c>
      <c r="L32" s="441">
        <f>L4+L6+L7+150</f>
        <v/>
      </c>
      <c r="M32" s="154">
        <f>G32-L32</f>
        <v/>
      </c>
      <c r="N32" s="441">
        <f>N4+N6+N7+150</f>
        <v/>
      </c>
      <c r="O32" s="456">
        <f>G32-N32</f>
        <v/>
      </c>
      <c r="P32" s="441">
        <f>P4+P6+P7+150</f>
        <v/>
      </c>
      <c r="Q32" s="456">
        <f>G32-P32</f>
        <v/>
      </c>
      <c r="R32" s="441">
        <f>R4+R6+R7+150</f>
        <v/>
      </c>
      <c r="S32" s="456">
        <f>G32-R32</f>
        <v/>
      </c>
      <c r="T32" s="441">
        <f>T4+T6+T7+150</f>
        <v/>
      </c>
      <c r="U32" s="456">
        <f>G32-T32</f>
        <v/>
      </c>
      <c r="V32" s="441">
        <f>V4+V6+V7+150</f>
        <v/>
      </c>
      <c r="W32" s="456">
        <f>G32-V32</f>
        <v/>
      </c>
      <c r="X32" s="450">
        <f>X4+X6+X7+140-150-20</f>
        <v/>
      </c>
      <c r="Y32" s="513">
        <f>G32-X32</f>
        <v/>
      </c>
      <c r="Z32" s="194">
        <f>Z3+Z5+Z6+150</f>
        <v/>
      </c>
      <c r="AA32" s="194" t="n">
        <v>2.556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41">
        <f>G4+G6+G7+150</f>
        <v/>
      </c>
      <c r="H33" s="441">
        <f>H4+H6+H7+150</f>
        <v/>
      </c>
      <c r="I33" s="154">
        <f>G33-H33</f>
        <v/>
      </c>
      <c r="J33" s="441">
        <f>J4+J6+J7+150</f>
        <v/>
      </c>
      <c r="K33" s="154">
        <f>G33-J33</f>
        <v/>
      </c>
      <c r="L33" s="441">
        <f>L4+L6+L7+150</f>
        <v/>
      </c>
      <c r="M33" s="154">
        <f>G33-L33</f>
        <v/>
      </c>
      <c r="N33" s="441">
        <f>N4+N6+N7+150</f>
        <v/>
      </c>
      <c r="O33" s="456">
        <f>G33-N33</f>
        <v/>
      </c>
      <c r="P33" s="441">
        <f>P4+P6+P7+150</f>
        <v/>
      </c>
      <c r="Q33" s="456">
        <f>G33-P33</f>
        <v/>
      </c>
      <c r="R33" s="441">
        <f>R4+R6+R7+150</f>
        <v/>
      </c>
      <c r="S33" s="456">
        <f>G33-R33</f>
        <v/>
      </c>
      <c r="T33" s="441">
        <f>T4+T6+T7+150</f>
        <v/>
      </c>
      <c r="U33" s="456">
        <f>G33-T33</f>
        <v/>
      </c>
      <c r="V33" s="441">
        <f>V4+V6+V7+150</f>
        <v/>
      </c>
      <c r="W33" s="456">
        <f>G33-V33</f>
        <v/>
      </c>
      <c r="X33" s="450">
        <f>X4+X6+X7+140-150-20</f>
        <v/>
      </c>
      <c r="Y33" s="513">
        <f>G33-X33</f>
        <v/>
      </c>
      <c r="Z33" s="194">
        <f>Z3+Z5+Z6+150</f>
        <v/>
      </c>
      <c r="AA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30" t="n"/>
      <c r="H34" s="129" t="n"/>
      <c r="I34" s="154" t="n"/>
      <c r="J34" s="129" t="n"/>
      <c r="K34" s="154" t="n"/>
      <c r="L34" s="129" t="n"/>
      <c r="M34" s="154" t="n"/>
      <c r="N34" s="129" t="n"/>
      <c r="O34" s="456" t="n"/>
      <c r="P34" s="129" t="n"/>
      <c r="Q34" s="456" t="n"/>
      <c r="R34" s="129" t="n"/>
      <c r="S34" s="456" t="n"/>
      <c r="T34" s="129" t="n"/>
      <c r="U34" s="456" t="n"/>
      <c r="V34" s="129" t="n"/>
      <c r="W34" s="456" t="n"/>
      <c r="X34" s="129" t="n"/>
      <c r="Y34" s="513" t="n"/>
      <c r="Z34" s="194" t="n"/>
      <c r="AA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5" t="n"/>
      <c r="H35" s="160" t="n"/>
      <c r="I35" s="154" t="n"/>
      <c r="J35" s="160" t="n"/>
      <c r="K35" s="154" t="n"/>
      <c r="L35" s="160" t="n"/>
      <c r="M35" s="154" t="n"/>
      <c r="N35" s="160" t="n"/>
      <c r="O35" s="456" t="n"/>
      <c r="P35" s="160" t="n"/>
      <c r="Q35" s="456" t="n"/>
      <c r="R35" s="160" t="n"/>
      <c r="S35" s="456" t="n"/>
      <c r="T35" s="160" t="n"/>
      <c r="U35" s="456" t="n"/>
      <c r="V35" s="160" t="n"/>
      <c r="W35" s="456" t="n"/>
      <c r="X35" s="160" t="n"/>
      <c r="Y35" s="513" t="n"/>
      <c r="Z35" s="9" t="n"/>
      <c r="AA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440" t="n"/>
      <c r="AA36" s="419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514" t="n"/>
      <c r="I37" s="514" t="n"/>
      <c r="J37" s="514" t="n"/>
      <c r="K37" s="514" t="n"/>
      <c r="L37" s="514" t="n"/>
      <c r="M37" s="514" t="n"/>
      <c r="N37" s="514" t="n"/>
      <c r="O37" s="514" t="n"/>
      <c r="P37" s="514" t="n"/>
      <c r="Q37" s="514" t="n"/>
      <c r="R37" s="514" t="n"/>
      <c r="S37" s="514" t="n"/>
      <c r="T37" s="514" t="n"/>
      <c r="U37" s="514" t="n"/>
      <c r="V37" s="514" t="n"/>
      <c r="W37" s="514" t="n"/>
      <c r="X37" s="514" t="n"/>
      <c r="Y37" s="514" t="n"/>
      <c r="Z37" s="440" t="n"/>
      <c r="AA37" s="162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514" t="n"/>
      <c r="I38" s="514" t="n"/>
      <c r="J38" s="514" t="n"/>
      <c r="K38" s="514" t="n"/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440" t="n"/>
      <c r="AA38" s="162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514" t="n"/>
      <c r="I39" s="514" t="n"/>
      <c r="J39" s="514" t="n"/>
      <c r="K39" s="514" t="n"/>
      <c r="L39" s="514" t="n"/>
      <c r="M39" s="514" t="n"/>
      <c r="N39" s="514" t="n"/>
      <c r="O39" s="514" t="n"/>
      <c r="P39" s="514" t="n"/>
      <c r="Q39" s="514" t="n"/>
      <c r="R39" s="514" t="n"/>
      <c r="S39" s="514" t="n"/>
      <c r="T39" s="514" t="n"/>
      <c r="U39" s="514" t="n"/>
      <c r="V39" s="514" t="n"/>
      <c r="W39" s="514" t="n"/>
      <c r="X39" s="514" t="n"/>
      <c r="Y39" s="514" t="n"/>
      <c r="Z39" s="440" t="n"/>
      <c r="AA39" s="162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440" t="n"/>
      <c r="AA40" s="162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514" t="n"/>
      <c r="I41" s="514" t="n"/>
      <c r="J41" s="514" t="n"/>
      <c r="K41" s="514" t="n"/>
      <c r="L41" s="514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440" t="n"/>
      <c r="AA41" s="162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514" t="n"/>
      <c r="I42" s="514" t="n"/>
      <c r="J42" s="514" t="n"/>
      <c r="K42" s="514" t="n"/>
      <c r="L42" s="514" t="n"/>
      <c r="M42" s="514" t="n"/>
      <c r="N42" s="514" t="n"/>
      <c r="O42" s="514" t="n"/>
      <c r="P42" s="514" t="n"/>
      <c r="Q42" s="514" t="n"/>
      <c r="R42" s="514" t="n"/>
      <c r="S42" s="514" t="n"/>
      <c r="T42" s="514" t="n"/>
      <c r="U42" s="514" t="n"/>
      <c r="V42" s="514" t="n"/>
      <c r="W42" s="514" t="n"/>
      <c r="X42" s="514" t="n"/>
      <c r="Y42" s="514" t="n"/>
      <c r="Z42" s="440" t="n"/>
      <c r="AA42" s="162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514" t="n"/>
      <c r="I43" s="514" t="n"/>
      <c r="J43" s="514" t="n"/>
      <c r="K43" s="514" t="n"/>
      <c r="L43" s="514" t="n"/>
      <c r="M43" s="514" t="n"/>
      <c r="N43" s="514" t="n"/>
      <c r="O43" s="514" t="n"/>
      <c r="P43" s="514" t="n"/>
      <c r="Q43" s="514" t="n"/>
      <c r="R43" s="514" t="n"/>
      <c r="S43" s="514" t="n"/>
      <c r="T43" s="514" t="n"/>
      <c r="U43" s="514" t="n"/>
      <c r="V43" s="514" t="n"/>
      <c r="W43" s="514" t="n"/>
      <c r="X43" s="514" t="n"/>
      <c r="Y43" s="514" t="n"/>
      <c r="Z43" s="440" t="n"/>
      <c r="AA43" s="162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514" t="n"/>
      <c r="I44" s="514" t="n"/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440" t="n"/>
      <c r="AA44" s="162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514" t="n"/>
      <c r="I45" s="514" t="n"/>
      <c r="J45" s="514" t="n"/>
      <c r="K45" s="514" t="n"/>
      <c r="L45" s="514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440" t="n"/>
      <c r="AA45" s="162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514" t="n"/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440" t="n"/>
      <c r="AA46" s="162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514" t="n"/>
      <c r="I47" s="514" t="n"/>
      <c r="J47" s="514" t="n"/>
      <c r="K47" s="514" t="n"/>
      <c r="L47" s="514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440" t="n"/>
      <c r="AA47" s="162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440" t="n"/>
      <c r="AA48" s="162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514" t="n"/>
      <c r="I49" s="514" t="n"/>
      <c r="J49" s="514" t="n"/>
      <c r="K49" s="514" t="n"/>
      <c r="L49" s="514" t="n"/>
      <c r="M49" s="514" t="n"/>
      <c r="N49" s="514" t="n"/>
      <c r="O49" s="514" t="n"/>
      <c r="P49" s="514" t="n"/>
      <c r="Q49" s="514" t="n"/>
      <c r="R49" s="514" t="n"/>
      <c r="S49" s="514" t="n"/>
      <c r="T49" s="514" t="n"/>
      <c r="U49" s="514" t="n"/>
      <c r="V49" s="514" t="n"/>
      <c r="W49" s="514" t="n"/>
      <c r="X49" s="514" t="n"/>
      <c r="Y49" s="514" t="n"/>
      <c r="Z49" s="440" t="n"/>
      <c r="AA49" s="162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440" t="n"/>
      <c r="AA50" s="162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514" t="n"/>
      <c r="I51" s="514" t="n"/>
      <c r="J51" s="514" t="n"/>
      <c r="K51" s="514" t="n"/>
      <c r="L51" s="514" t="n"/>
      <c r="M51" s="514" t="n"/>
      <c r="N51" s="514" t="n"/>
      <c r="O51" s="514" t="n"/>
      <c r="P51" s="514" t="n"/>
      <c r="Q51" s="514" t="n"/>
      <c r="R51" s="514" t="n"/>
      <c r="S51" s="514" t="n"/>
      <c r="T51" s="514" t="n"/>
      <c r="U51" s="514" t="n"/>
      <c r="V51" s="514" t="n"/>
      <c r="W51" s="514" t="n"/>
      <c r="X51" s="514" t="n"/>
      <c r="Y51" s="514" t="n"/>
      <c r="Z51" s="440" t="n"/>
      <c r="AA51" s="162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440" t="n"/>
      <c r="AA52" s="162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514" t="n"/>
      <c r="I53" s="514" t="n"/>
      <c r="J53" s="514" t="n"/>
      <c r="K53" s="514" t="n"/>
      <c r="L53" s="514" t="n"/>
      <c r="M53" s="514" t="n"/>
      <c r="N53" s="514" t="n"/>
      <c r="O53" s="514" t="n"/>
      <c r="P53" s="514" t="n"/>
      <c r="Q53" s="514" t="n"/>
      <c r="R53" s="514" t="n"/>
      <c r="S53" s="514" t="n"/>
      <c r="T53" s="514" t="n"/>
      <c r="U53" s="514" t="n"/>
      <c r="V53" s="514" t="n"/>
      <c r="W53" s="514" t="n"/>
      <c r="X53" s="514" t="n"/>
      <c r="Y53" s="514" t="n"/>
      <c r="Z53" s="440" t="n"/>
      <c r="AA53" s="162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440" t="n"/>
      <c r="AA54" s="162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514" t="n"/>
      <c r="I55" s="514" t="n"/>
      <c r="J55" s="514" t="n"/>
      <c r="K55" s="514" t="n"/>
      <c r="L55" s="514" t="n"/>
      <c r="M55" s="514" t="n"/>
      <c r="N55" s="514" t="n"/>
      <c r="O55" s="514" t="n"/>
      <c r="P55" s="514" t="n"/>
      <c r="Q55" s="514" t="n"/>
      <c r="R55" s="514" t="n"/>
      <c r="S55" s="514" t="n"/>
      <c r="T55" s="514" t="n"/>
      <c r="U55" s="514" t="n"/>
      <c r="V55" s="514" t="n"/>
      <c r="W55" s="514" t="n"/>
      <c r="X55" s="514" t="n"/>
      <c r="Y55" s="514" t="n"/>
      <c r="Z55" s="440" t="n"/>
      <c r="AA55" s="162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440" t="n"/>
      <c r="AA56" s="162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514" t="n"/>
      <c r="I57" s="514" t="n"/>
      <c r="J57" s="514" t="n"/>
      <c r="K57" s="514" t="n"/>
      <c r="L57" s="514" t="n"/>
      <c r="M57" s="514" t="n"/>
      <c r="N57" s="514" t="n"/>
      <c r="O57" s="514" t="n"/>
      <c r="P57" s="514" t="n"/>
      <c r="Q57" s="514" t="n"/>
      <c r="R57" s="514" t="n"/>
      <c r="S57" s="514" t="n"/>
      <c r="T57" s="514" t="n"/>
      <c r="U57" s="514" t="n"/>
      <c r="V57" s="514" t="n"/>
      <c r="W57" s="514" t="n"/>
      <c r="X57" s="514" t="n"/>
      <c r="Y57" s="514" t="n"/>
      <c r="Z57" s="440" t="n"/>
      <c r="AA57" s="162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440" t="n"/>
      <c r="AA58" s="162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514" t="n"/>
      <c r="I59" s="514" t="n"/>
      <c r="J59" s="514" t="n"/>
      <c r="K59" s="514" t="n"/>
      <c r="L59" s="514" t="n"/>
      <c r="M59" s="514" t="n"/>
      <c r="N59" s="514" t="n"/>
      <c r="O59" s="514" t="n"/>
      <c r="P59" s="514" t="n"/>
      <c r="Q59" s="514" t="n"/>
      <c r="R59" s="514" t="n"/>
      <c r="S59" s="514" t="n"/>
      <c r="T59" s="514" t="n"/>
      <c r="U59" s="514" t="n"/>
      <c r="V59" s="514" t="n"/>
      <c r="W59" s="514" t="n"/>
      <c r="X59" s="514" t="n"/>
      <c r="Y59" s="514" t="n"/>
      <c r="Z59" s="440" t="n"/>
      <c r="AA59" s="162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440" t="n"/>
      <c r="AA60" s="162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514" t="n"/>
      <c r="I61" s="514" t="n"/>
      <c r="J61" s="514" t="n"/>
      <c r="K61" s="514" t="n"/>
      <c r="L61" s="514" t="n"/>
      <c r="M61" s="514" t="n"/>
      <c r="N61" s="514" t="n"/>
      <c r="O61" s="514" t="n"/>
      <c r="P61" s="514" t="n"/>
      <c r="Q61" s="514" t="n"/>
      <c r="R61" s="514" t="n"/>
      <c r="S61" s="514" t="n"/>
      <c r="T61" s="514" t="n"/>
      <c r="U61" s="514" t="n"/>
      <c r="V61" s="514" t="n"/>
      <c r="W61" s="514" t="n"/>
      <c r="X61" s="514" t="n"/>
      <c r="Y61" s="514" t="n"/>
      <c r="Z61" s="440" t="n"/>
      <c r="AA61" s="162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514" t="n"/>
      <c r="I62" s="514" t="n"/>
      <c r="J62" s="514" t="n"/>
      <c r="K62" s="514" t="n"/>
      <c r="L62" s="514" t="n"/>
      <c r="M62" s="514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14" t="n"/>
      <c r="X62" s="514" t="n"/>
      <c r="Y62" s="514" t="n"/>
      <c r="Z62" s="440" t="n"/>
      <c r="AA62" s="162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514" t="n"/>
      <c r="I63" s="514" t="n"/>
      <c r="J63" s="514" t="n"/>
      <c r="K63" s="514" t="n"/>
      <c r="L63" s="514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440" t="n"/>
      <c r="AA63" s="162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514" t="n"/>
      <c r="I64" s="514" t="n"/>
      <c r="J64" s="514" t="n"/>
      <c r="K64" s="514" t="n"/>
      <c r="L64" s="514" t="n"/>
      <c r="M64" s="514" t="n"/>
      <c r="N64" s="514" t="n"/>
      <c r="O64" s="514" t="n"/>
      <c r="P64" s="514" t="n"/>
      <c r="Q64" s="514" t="n"/>
      <c r="R64" s="514" t="n"/>
      <c r="S64" s="514" t="n"/>
      <c r="T64" s="514" t="n"/>
      <c r="U64" s="514" t="n"/>
      <c r="V64" s="514" t="n"/>
      <c r="W64" s="514" t="n"/>
      <c r="X64" s="514" t="n"/>
      <c r="Y64" s="514" t="n"/>
      <c r="Z64" s="440" t="n"/>
      <c r="AA64" s="162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514" t="n"/>
      <c r="I65" s="514" t="n"/>
      <c r="J65" s="514" t="n"/>
      <c r="K65" s="514" t="n"/>
      <c r="L65" s="514" t="n"/>
      <c r="M65" s="514" t="n"/>
      <c r="N65" s="514" t="n"/>
      <c r="O65" s="514" t="n"/>
      <c r="P65" s="514" t="n"/>
      <c r="Q65" s="514" t="n"/>
      <c r="R65" s="514" t="n"/>
      <c r="S65" s="514" t="n"/>
      <c r="T65" s="514" t="n"/>
      <c r="U65" s="514" t="n"/>
      <c r="V65" s="514" t="n"/>
      <c r="W65" s="514" t="n"/>
      <c r="X65" s="514" t="n"/>
      <c r="Y65" s="514" t="n"/>
      <c r="Z65" s="440" t="n"/>
      <c r="AA65" s="162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514" t="n"/>
      <c r="I66" s="514" t="n"/>
      <c r="J66" s="514" t="n"/>
      <c r="K66" s="514" t="n"/>
      <c r="L66" s="514" t="n"/>
      <c r="M66" s="514" t="n"/>
      <c r="N66" s="514" t="n"/>
      <c r="O66" s="514" t="n"/>
      <c r="P66" s="514" t="n"/>
      <c r="Q66" s="514" t="n"/>
      <c r="R66" s="514" t="n"/>
      <c r="S66" s="514" t="n"/>
      <c r="T66" s="514" t="n"/>
      <c r="U66" s="514" t="n"/>
      <c r="V66" s="514" t="n"/>
      <c r="W66" s="514" t="n"/>
      <c r="X66" s="514" t="n"/>
      <c r="Y66" s="514" t="n"/>
      <c r="Z66" s="440" t="n"/>
      <c r="AA66" s="162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514" t="n"/>
      <c r="I67" s="514" t="n"/>
      <c r="J67" s="514" t="n"/>
      <c r="K67" s="514" t="n"/>
      <c r="L67" s="514" t="n"/>
      <c r="M67" s="514" t="n"/>
      <c r="N67" s="514" t="n"/>
      <c r="O67" s="514" t="n"/>
      <c r="P67" s="514" t="n"/>
      <c r="Q67" s="514" t="n"/>
      <c r="R67" s="514" t="n"/>
      <c r="S67" s="514" t="n"/>
      <c r="T67" s="514" t="n"/>
      <c r="U67" s="514" t="n"/>
      <c r="V67" s="514" t="n"/>
      <c r="W67" s="514" t="n"/>
      <c r="X67" s="514" t="n"/>
      <c r="Y67" s="514" t="n"/>
      <c r="Z67" s="440" t="n"/>
      <c r="AA67" s="162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514" t="n"/>
      <c r="I68" s="514" t="n"/>
      <c r="J68" s="514" t="n"/>
      <c r="K68" s="514" t="n"/>
      <c r="L68" s="514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440" t="n"/>
      <c r="AA68" s="162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514" t="n"/>
      <c r="I69" s="514" t="n"/>
      <c r="J69" s="514" t="n"/>
      <c r="K69" s="514" t="n"/>
      <c r="L69" s="514" t="n"/>
      <c r="M69" s="514" t="n"/>
      <c r="N69" s="514" t="n"/>
      <c r="O69" s="514" t="n"/>
      <c r="P69" s="514" t="n"/>
      <c r="Q69" s="514" t="n"/>
      <c r="R69" s="514" t="n"/>
      <c r="S69" s="514" t="n"/>
      <c r="T69" s="514" t="n"/>
      <c r="U69" s="514" t="n"/>
      <c r="V69" s="514" t="n"/>
      <c r="W69" s="514" t="n"/>
      <c r="X69" s="514" t="n"/>
      <c r="Y69" s="514" t="n"/>
      <c r="Z69" s="440" t="n"/>
      <c r="AA69" s="162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514" t="n"/>
      <c r="I70" s="514" t="n"/>
      <c r="J70" s="514" t="n"/>
      <c r="K70" s="514" t="n"/>
      <c r="L70" s="514" t="n"/>
      <c r="M70" s="514" t="n"/>
      <c r="N70" s="514" t="n"/>
      <c r="O70" s="514" t="n"/>
      <c r="P70" s="514" t="n"/>
      <c r="Q70" s="514" t="n"/>
      <c r="R70" s="514" t="n"/>
      <c r="S70" s="514" t="n"/>
      <c r="T70" s="514" t="n"/>
      <c r="U70" s="514" t="n"/>
      <c r="V70" s="514" t="n"/>
      <c r="W70" s="514" t="n"/>
      <c r="X70" s="514" t="n"/>
      <c r="Y70" s="514" t="n"/>
      <c r="Z70" s="440" t="n"/>
      <c r="AA70" s="162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514" t="n"/>
      <c r="I71" s="514" t="n"/>
      <c r="J71" s="514" t="n"/>
      <c r="K71" s="514" t="n"/>
      <c r="L71" s="514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440" t="n"/>
      <c r="AA71" s="162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514" t="n"/>
      <c r="I72" s="514" t="n"/>
      <c r="J72" s="514" t="n"/>
      <c r="K72" s="514" t="n"/>
      <c r="L72" s="514" t="n"/>
      <c r="M72" s="514" t="n"/>
      <c r="N72" s="514" t="n"/>
      <c r="O72" s="514" t="n"/>
      <c r="P72" s="514" t="n"/>
      <c r="Q72" s="514" t="n"/>
      <c r="R72" s="514" t="n"/>
      <c r="S72" s="514" t="n"/>
      <c r="T72" s="514" t="n"/>
      <c r="U72" s="514" t="n"/>
      <c r="V72" s="514" t="n"/>
      <c r="W72" s="514" t="n"/>
      <c r="X72" s="514" t="n"/>
      <c r="Y72" s="514" t="n"/>
      <c r="Z72" s="440" t="n"/>
      <c r="AA72" s="162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514" t="n"/>
      <c r="I73" s="514" t="n"/>
      <c r="J73" s="514" t="n"/>
      <c r="K73" s="514" t="n"/>
      <c r="L73" s="514" t="n"/>
      <c r="M73" s="514" t="n"/>
      <c r="N73" s="514" t="n"/>
      <c r="O73" s="514" t="n"/>
      <c r="P73" s="514" t="n"/>
      <c r="Q73" s="514" t="n"/>
      <c r="R73" s="514" t="n"/>
      <c r="S73" s="514" t="n"/>
      <c r="T73" s="514" t="n"/>
      <c r="U73" s="514" t="n"/>
      <c r="V73" s="514" t="n"/>
      <c r="W73" s="514" t="n"/>
      <c r="X73" s="514" t="n"/>
      <c r="Y73" s="514" t="n"/>
      <c r="Z73" s="440" t="n"/>
      <c r="AA73" s="162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514" t="n"/>
      <c r="I74" s="514" t="n"/>
      <c r="J74" s="514" t="n"/>
      <c r="K74" s="514" t="n"/>
      <c r="L74" s="514" t="n"/>
      <c r="M74" s="514" t="n"/>
      <c r="N74" s="514" t="n"/>
      <c r="O74" s="514" t="n"/>
      <c r="P74" s="514" t="n"/>
      <c r="Q74" s="514" t="n"/>
      <c r="R74" s="514" t="n"/>
      <c r="S74" s="514" t="n"/>
      <c r="T74" s="514" t="n"/>
      <c r="U74" s="514" t="n"/>
      <c r="V74" s="514" t="n"/>
      <c r="W74" s="514" t="n"/>
      <c r="X74" s="514" t="n"/>
      <c r="Y74" s="514" t="n"/>
      <c r="Z74" s="440" t="n"/>
      <c r="AA74" s="162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514" t="n"/>
      <c r="I75" s="514" t="n"/>
      <c r="J75" s="514" t="n"/>
      <c r="K75" s="514" t="n"/>
      <c r="L75" s="514" t="n"/>
      <c r="M75" s="514" t="n"/>
      <c r="N75" s="514" t="n"/>
      <c r="O75" s="514" t="n"/>
      <c r="P75" s="514" t="n"/>
      <c r="Q75" s="514" t="n"/>
      <c r="R75" s="514" t="n"/>
      <c r="S75" s="514" t="n"/>
      <c r="T75" s="514" t="n"/>
      <c r="U75" s="514" t="n"/>
      <c r="V75" s="514" t="n"/>
      <c r="W75" s="514" t="n"/>
      <c r="X75" s="514" t="n"/>
      <c r="Y75" s="514" t="n"/>
      <c r="Z75" s="440" t="n"/>
      <c r="AA75" s="162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514" t="n"/>
      <c r="I76" s="514" t="n"/>
      <c r="J76" s="514" t="n"/>
      <c r="K76" s="514" t="n"/>
      <c r="L76" s="514" t="n"/>
      <c r="M76" s="514" t="n"/>
      <c r="N76" s="514" t="n"/>
      <c r="O76" s="514" t="n"/>
      <c r="P76" s="514" t="n"/>
      <c r="Q76" s="514" t="n"/>
      <c r="R76" s="514" t="n"/>
      <c r="S76" s="514" t="n"/>
      <c r="T76" s="514" t="n"/>
      <c r="U76" s="514" t="n"/>
      <c r="V76" s="514" t="n"/>
      <c r="W76" s="514" t="n"/>
      <c r="X76" s="514" t="n"/>
      <c r="Y76" s="514" t="n"/>
      <c r="Z76" s="440" t="n"/>
      <c r="AA76" s="162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514" t="n"/>
      <c r="I77" s="514" t="n"/>
      <c r="J77" s="514" t="n"/>
      <c r="K77" s="514" t="n"/>
      <c r="L77" s="514" t="n"/>
      <c r="M77" s="514" t="n"/>
      <c r="N77" s="514" t="n"/>
      <c r="O77" s="514" t="n"/>
      <c r="P77" s="514" t="n"/>
      <c r="Q77" s="514" t="n"/>
      <c r="R77" s="514" t="n"/>
      <c r="S77" s="514" t="n"/>
      <c r="T77" s="514" t="n"/>
      <c r="U77" s="514" t="n"/>
      <c r="V77" s="514" t="n"/>
      <c r="W77" s="514" t="n"/>
      <c r="X77" s="514" t="n"/>
      <c r="Y77" s="514" t="n"/>
      <c r="Z77" s="440" t="n"/>
      <c r="AA77" s="162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514" t="n"/>
      <c r="I78" s="514" t="n"/>
      <c r="J78" s="514" t="n"/>
      <c r="K78" s="514" t="n"/>
      <c r="L78" s="514" t="n"/>
      <c r="M78" s="514" t="n"/>
      <c r="N78" s="514" t="n"/>
      <c r="O78" s="514" t="n"/>
      <c r="P78" s="514" t="n"/>
      <c r="Q78" s="514" t="n"/>
      <c r="R78" s="514" t="n"/>
      <c r="S78" s="514" t="n"/>
      <c r="T78" s="514" t="n"/>
      <c r="U78" s="514" t="n"/>
      <c r="V78" s="514" t="n"/>
      <c r="W78" s="514" t="n"/>
      <c r="X78" s="514" t="n"/>
      <c r="Y78" s="514" t="n"/>
      <c r="Z78" s="440" t="n"/>
      <c r="AA78" s="162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514" t="n"/>
      <c r="I79" s="514" t="n"/>
      <c r="J79" s="514" t="n"/>
      <c r="K79" s="514" t="n"/>
      <c r="L79" s="514" t="n"/>
      <c r="M79" s="514" t="n"/>
      <c r="N79" s="514" t="n"/>
      <c r="O79" s="514" t="n"/>
      <c r="P79" s="514" t="n"/>
      <c r="Q79" s="514" t="n"/>
      <c r="R79" s="514" t="n"/>
      <c r="S79" s="514" t="n"/>
      <c r="T79" s="514" t="n"/>
      <c r="U79" s="514" t="n"/>
      <c r="V79" s="514" t="n"/>
      <c r="W79" s="514" t="n"/>
      <c r="X79" s="514" t="n"/>
      <c r="Y79" s="514" t="n"/>
      <c r="Z79" s="440" t="n"/>
      <c r="AA79" s="162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514" t="n"/>
      <c r="I80" s="514" t="n"/>
      <c r="J80" s="514" t="n"/>
      <c r="K80" s="514" t="n"/>
      <c r="L80" s="514" t="n"/>
      <c r="M80" s="514" t="n"/>
      <c r="N80" s="514" t="n"/>
      <c r="O80" s="514" t="n"/>
      <c r="P80" s="514" t="n"/>
      <c r="Q80" s="514" t="n"/>
      <c r="R80" s="514" t="n"/>
      <c r="S80" s="514" t="n"/>
      <c r="T80" s="514" t="n"/>
      <c r="U80" s="514" t="n"/>
      <c r="V80" s="514" t="n"/>
      <c r="W80" s="514" t="n"/>
      <c r="X80" s="514" t="n"/>
      <c r="Y80" s="514" t="n"/>
      <c r="Z80" s="440" t="n"/>
      <c r="AA80" s="162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514" t="n"/>
      <c r="I81" s="514" t="n"/>
      <c r="J81" s="514" t="n"/>
      <c r="K81" s="514" t="n"/>
      <c r="L81" s="514" t="n"/>
      <c r="M81" s="514" t="n"/>
      <c r="N81" s="514" t="n"/>
      <c r="O81" s="514" t="n"/>
      <c r="P81" s="514" t="n"/>
      <c r="Q81" s="514" t="n"/>
      <c r="R81" s="514" t="n"/>
      <c r="S81" s="514" t="n"/>
      <c r="T81" s="514" t="n"/>
      <c r="U81" s="514" t="n"/>
      <c r="V81" s="514" t="n"/>
      <c r="W81" s="514" t="n"/>
      <c r="X81" s="514" t="n"/>
      <c r="Y81" s="514" t="n"/>
      <c r="Z81" s="440" t="n"/>
      <c r="AA81" s="162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514" t="n"/>
      <c r="I82" s="514" t="n"/>
      <c r="J82" s="514" t="n"/>
      <c r="K82" s="514" t="n"/>
      <c r="L82" s="514" t="n"/>
      <c r="M82" s="514" t="n"/>
      <c r="N82" s="514" t="n"/>
      <c r="O82" s="514" t="n"/>
      <c r="P82" s="514" t="n"/>
      <c r="Q82" s="514" t="n"/>
      <c r="R82" s="514" t="n"/>
      <c r="S82" s="514" t="n"/>
      <c r="T82" s="514" t="n"/>
      <c r="U82" s="514" t="n"/>
      <c r="V82" s="514" t="n"/>
      <c r="W82" s="514" t="n"/>
      <c r="X82" s="514" t="n"/>
      <c r="Y82" s="514" t="n"/>
      <c r="Z82" s="440" t="n"/>
      <c r="AA82" s="162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514" t="n"/>
      <c r="I83" s="514" t="n"/>
      <c r="J83" s="514" t="n"/>
      <c r="K83" s="514" t="n"/>
      <c r="L83" s="514" t="n"/>
      <c r="M83" s="514" t="n"/>
      <c r="N83" s="514" t="n"/>
      <c r="O83" s="514" t="n"/>
      <c r="P83" s="514" t="n"/>
      <c r="Q83" s="514" t="n"/>
      <c r="R83" s="514" t="n"/>
      <c r="S83" s="514" t="n"/>
      <c r="T83" s="514" t="n"/>
      <c r="U83" s="514" t="n"/>
      <c r="V83" s="514" t="n"/>
      <c r="W83" s="514" t="n"/>
      <c r="X83" s="514" t="n"/>
      <c r="Y83" s="514" t="n"/>
      <c r="Z83" s="440" t="n"/>
      <c r="AA83" s="162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514" t="n"/>
      <c r="I84" s="514" t="n"/>
      <c r="J84" s="514" t="n"/>
      <c r="K84" s="514" t="n"/>
      <c r="L84" s="514" t="n"/>
      <c r="M84" s="514" t="n"/>
      <c r="N84" s="514" t="n"/>
      <c r="O84" s="514" t="n"/>
      <c r="P84" s="514" t="n"/>
      <c r="Q84" s="514" t="n"/>
      <c r="R84" s="514" t="n"/>
      <c r="S84" s="514" t="n"/>
      <c r="T84" s="514" t="n"/>
      <c r="U84" s="514" t="n"/>
      <c r="V84" s="514" t="n"/>
      <c r="W84" s="514" t="n"/>
      <c r="X84" s="514" t="n"/>
      <c r="Y84" s="514" t="n"/>
      <c r="Z84" s="440" t="n"/>
      <c r="AA84" s="162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514" t="n"/>
      <c r="I85" s="514" t="n"/>
      <c r="J85" s="514" t="n"/>
      <c r="K85" s="514" t="n"/>
      <c r="L85" s="514" t="n"/>
      <c r="M85" s="514" t="n"/>
      <c r="N85" s="514" t="n"/>
      <c r="O85" s="514" t="n"/>
      <c r="P85" s="514" t="n"/>
      <c r="Q85" s="514" t="n"/>
      <c r="R85" s="514" t="n"/>
      <c r="S85" s="514" t="n"/>
      <c r="T85" s="514" t="n"/>
      <c r="U85" s="514" t="n"/>
      <c r="V85" s="514" t="n"/>
      <c r="W85" s="514" t="n"/>
      <c r="X85" s="514" t="n"/>
      <c r="Y85" s="514" t="n"/>
      <c r="Z85" s="440" t="n"/>
      <c r="AA85" s="162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514" t="n"/>
      <c r="I86" s="514" t="n"/>
      <c r="J86" s="514" t="n"/>
      <c r="K86" s="514" t="n"/>
      <c r="L86" s="514" t="n"/>
      <c r="M86" s="514" t="n"/>
      <c r="N86" s="514" t="n"/>
      <c r="O86" s="514" t="n"/>
      <c r="P86" s="514" t="n"/>
      <c r="Q86" s="514" t="n"/>
      <c r="R86" s="514" t="n"/>
      <c r="S86" s="514" t="n"/>
      <c r="T86" s="514" t="n"/>
      <c r="U86" s="514" t="n"/>
      <c r="V86" s="514" t="n"/>
      <c r="W86" s="514" t="n"/>
      <c r="X86" s="514" t="n"/>
      <c r="Y86" s="514" t="n"/>
      <c r="Z86" s="440" t="n"/>
      <c r="AA86" s="162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514" t="n"/>
      <c r="I87" s="514" t="n"/>
      <c r="J87" s="514" t="n"/>
      <c r="K87" s="514" t="n"/>
      <c r="L87" s="514" t="n"/>
      <c r="M87" s="514" t="n"/>
      <c r="N87" s="514" t="n"/>
      <c r="O87" s="514" t="n"/>
      <c r="P87" s="514" t="n"/>
      <c r="Q87" s="514" t="n"/>
      <c r="R87" s="514" t="n"/>
      <c r="S87" s="514" t="n"/>
      <c r="T87" s="514" t="n"/>
      <c r="U87" s="514" t="n"/>
      <c r="V87" s="514" t="n"/>
      <c r="W87" s="514" t="n"/>
      <c r="X87" s="514" t="n"/>
      <c r="Y87" s="514" t="n"/>
      <c r="Z87" s="440" t="n"/>
      <c r="AA87" s="162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514" t="n"/>
      <c r="I88" s="514" t="n"/>
      <c r="J88" s="514" t="n"/>
      <c r="K88" s="514" t="n"/>
      <c r="L88" s="514" t="n"/>
      <c r="M88" s="514" t="n"/>
      <c r="N88" s="514" t="n"/>
      <c r="O88" s="514" t="n"/>
      <c r="P88" s="514" t="n"/>
      <c r="Q88" s="514" t="n"/>
      <c r="R88" s="514" t="n"/>
      <c r="S88" s="514" t="n"/>
      <c r="T88" s="514" t="n"/>
      <c r="U88" s="514" t="n"/>
      <c r="V88" s="514" t="n"/>
      <c r="W88" s="514" t="n"/>
      <c r="X88" s="514" t="n"/>
      <c r="Y88" s="514" t="n"/>
      <c r="Z88" s="440" t="n"/>
      <c r="AA88" s="162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514" t="n"/>
      <c r="I89" s="514" t="n"/>
      <c r="J89" s="514" t="n"/>
      <c r="K89" s="514" t="n"/>
      <c r="L89" s="514" t="n"/>
      <c r="M89" s="514" t="n"/>
      <c r="N89" s="514" t="n"/>
      <c r="O89" s="514" t="n"/>
      <c r="P89" s="514" t="n"/>
      <c r="Q89" s="514" t="n"/>
      <c r="R89" s="514" t="n"/>
      <c r="S89" s="514" t="n"/>
      <c r="T89" s="514" t="n"/>
      <c r="U89" s="514" t="n"/>
      <c r="V89" s="514" t="n"/>
      <c r="W89" s="514" t="n"/>
      <c r="X89" s="514" t="n"/>
      <c r="Y89" s="514" t="n"/>
      <c r="Z89" s="440" t="n"/>
      <c r="AA89" s="162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514" t="n"/>
      <c r="I90" s="514" t="n"/>
      <c r="J90" s="514" t="n"/>
      <c r="K90" s="514" t="n"/>
      <c r="L90" s="514" t="n"/>
      <c r="M90" s="514" t="n"/>
      <c r="N90" s="514" t="n"/>
      <c r="O90" s="514" t="n"/>
      <c r="P90" s="514" t="n"/>
      <c r="Q90" s="514" t="n"/>
      <c r="R90" s="514" t="n"/>
      <c r="S90" s="514" t="n"/>
      <c r="T90" s="514" t="n"/>
      <c r="U90" s="514" t="n"/>
      <c r="V90" s="514" t="n"/>
      <c r="W90" s="514" t="n"/>
      <c r="X90" s="514" t="n"/>
      <c r="Y90" s="514" t="n"/>
      <c r="Z90" s="440" t="n"/>
      <c r="AA90" s="162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514" t="n"/>
      <c r="I91" s="514" t="n"/>
      <c r="J91" s="514" t="n"/>
      <c r="K91" s="514" t="n"/>
      <c r="L91" s="514" t="n"/>
      <c r="M91" s="514" t="n"/>
      <c r="N91" s="514" t="n"/>
      <c r="O91" s="514" t="n"/>
      <c r="P91" s="514" t="n"/>
      <c r="Q91" s="514" t="n"/>
      <c r="R91" s="514" t="n"/>
      <c r="S91" s="514" t="n"/>
      <c r="T91" s="514" t="n"/>
      <c r="U91" s="514" t="n"/>
      <c r="V91" s="514" t="n"/>
      <c r="W91" s="514" t="n"/>
      <c r="X91" s="514" t="n"/>
      <c r="Y91" s="514" t="n"/>
      <c r="Z91" s="440" t="n"/>
      <c r="AA91" s="162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514" t="n"/>
      <c r="I92" s="514" t="n"/>
      <c r="J92" s="514" t="n"/>
      <c r="K92" s="514" t="n"/>
      <c r="L92" s="514" t="n"/>
      <c r="M92" s="514" t="n"/>
      <c r="N92" s="514" t="n"/>
      <c r="O92" s="514" t="n"/>
      <c r="P92" s="514" t="n"/>
      <c r="Q92" s="514" t="n"/>
      <c r="R92" s="514" t="n"/>
      <c r="S92" s="514" t="n"/>
      <c r="T92" s="514" t="n"/>
      <c r="U92" s="514" t="n"/>
      <c r="V92" s="514" t="n"/>
      <c r="W92" s="514" t="n"/>
      <c r="X92" s="514" t="n"/>
      <c r="Y92" s="514" t="n"/>
      <c r="Z92" s="440" t="n"/>
      <c r="AA92" s="162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514" t="n"/>
      <c r="I93" s="514" t="n"/>
      <c r="J93" s="514" t="n"/>
      <c r="K93" s="514" t="n"/>
      <c r="L93" s="514" t="n"/>
      <c r="M93" s="514" t="n"/>
      <c r="N93" s="514" t="n"/>
      <c r="O93" s="514" t="n"/>
      <c r="P93" s="514" t="n"/>
      <c r="Q93" s="514" t="n"/>
      <c r="R93" s="514" t="n"/>
      <c r="S93" s="514" t="n"/>
      <c r="T93" s="514" t="n"/>
      <c r="U93" s="514" t="n"/>
      <c r="V93" s="514" t="n"/>
      <c r="W93" s="514" t="n"/>
      <c r="X93" s="514" t="n"/>
      <c r="Y93" s="514" t="n"/>
      <c r="Z93" s="440" t="n"/>
      <c r="AA93" s="162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514" t="n"/>
      <c r="I94" s="514" t="n"/>
      <c r="J94" s="514" t="n"/>
      <c r="K94" s="514" t="n"/>
      <c r="L94" s="514" t="n"/>
      <c r="M94" s="514" t="n"/>
      <c r="N94" s="514" t="n"/>
      <c r="O94" s="514" t="n"/>
      <c r="P94" s="514" t="n"/>
      <c r="Q94" s="514" t="n"/>
      <c r="R94" s="514" t="n"/>
      <c r="S94" s="514" t="n"/>
      <c r="T94" s="514" t="n"/>
      <c r="U94" s="514" t="n"/>
      <c r="V94" s="514" t="n"/>
      <c r="W94" s="514" t="n"/>
      <c r="X94" s="514" t="n"/>
      <c r="Y94" s="514" t="n"/>
      <c r="Z94" s="440" t="n"/>
      <c r="AA94" s="162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514" t="n"/>
      <c r="I95" s="514" t="n"/>
      <c r="J95" s="514" t="n"/>
      <c r="K95" s="514" t="n"/>
      <c r="L95" s="514" t="n"/>
      <c r="M95" s="514" t="n"/>
      <c r="N95" s="514" t="n"/>
      <c r="O95" s="514" t="n"/>
      <c r="P95" s="514" t="n"/>
      <c r="Q95" s="514" t="n"/>
      <c r="R95" s="514" t="n"/>
      <c r="S95" s="514" t="n"/>
      <c r="T95" s="514" t="n"/>
      <c r="U95" s="514" t="n"/>
      <c r="V95" s="514" t="n"/>
      <c r="W95" s="514" t="n"/>
      <c r="X95" s="514" t="n"/>
      <c r="Y95" s="514" t="n"/>
      <c r="Z95" s="440" t="n"/>
      <c r="AA95" s="162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514" t="n"/>
      <c r="I96" s="514" t="n"/>
      <c r="J96" s="514" t="n"/>
      <c r="K96" s="514" t="n"/>
      <c r="L96" s="514" t="n"/>
      <c r="M96" s="514" t="n"/>
      <c r="N96" s="514" t="n"/>
      <c r="O96" s="514" t="n"/>
      <c r="P96" s="514" t="n"/>
      <c r="Q96" s="514" t="n"/>
      <c r="R96" s="514" t="n"/>
      <c r="S96" s="514" t="n"/>
      <c r="T96" s="514" t="n"/>
      <c r="U96" s="514" t="n"/>
      <c r="V96" s="514" t="n"/>
      <c r="W96" s="514" t="n"/>
      <c r="X96" s="514" t="n"/>
      <c r="Y96" s="514" t="n"/>
      <c r="Z96" s="440" t="n"/>
      <c r="AA96" s="162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514" t="n"/>
      <c r="I97" s="514" t="n"/>
      <c r="J97" s="514" t="n"/>
      <c r="K97" s="514" t="n"/>
      <c r="L97" s="514" t="n"/>
      <c r="M97" s="514" t="n"/>
      <c r="N97" s="514" t="n"/>
      <c r="O97" s="514" t="n"/>
      <c r="P97" s="514" t="n"/>
      <c r="Q97" s="514" t="n"/>
      <c r="R97" s="514" t="n"/>
      <c r="S97" s="514" t="n"/>
      <c r="T97" s="514" t="n"/>
      <c r="U97" s="514" t="n"/>
      <c r="V97" s="514" t="n"/>
      <c r="W97" s="514" t="n"/>
      <c r="X97" s="514" t="n"/>
      <c r="Y97" s="514" t="n"/>
      <c r="Z97" s="440" t="n"/>
      <c r="AA97" s="162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514" t="n"/>
      <c r="I98" s="514" t="n"/>
      <c r="J98" s="514" t="n"/>
      <c r="K98" s="514" t="n"/>
      <c r="L98" s="514" t="n"/>
      <c r="M98" s="514" t="n"/>
      <c r="N98" s="514" t="n"/>
      <c r="O98" s="514" t="n"/>
      <c r="P98" s="514" t="n"/>
      <c r="Q98" s="514" t="n"/>
      <c r="R98" s="514" t="n"/>
      <c r="S98" s="514" t="n"/>
      <c r="T98" s="514" t="n"/>
      <c r="U98" s="514" t="n"/>
      <c r="V98" s="514" t="n"/>
      <c r="W98" s="514" t="n"/>
      <c r="X98" s="514" t="n"/>
      <c r="Y98" s="514" t="n"/>
      <c r="Z98" s="440" t="n"/>
      <c r="AA98" s="162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514" t="n"/>
      <c r="I99" s="514" t="n"/>
      <c r="J99" s="514" t="n"/>
      <c r="K99" s="514" t="n"/>
      <c r="L99" s="514" t="n"/>
      <c r="M99" s="514" t="n"/>
      <c r="N99" s="514" t="n"/>
      <c r="O99" s="514" t="n"/>
      <c r="P99" s="514" t="n"/>
      <c r="Q99" s="514" t="n"/>
      <c r="R99" s="514" t="n"/>
      <c r="S99" s="514" t="n"/>
      <c r="T99" s="514" t="n"/>
      <c r="U99" s="514" t="n"/>
      <c r="V99" s="514" t="n"/>
      <c r="W99" s="514" t="n"/>
      <c r="X99" s="514" t="n"/>
      <c r="Y99" s="514" t="n"/>
      <c r="Z99" s="440" t="n"/>
      <c r="AA99" s="162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514" t="n"/>
      <c r="I100" s="514" t="n"/>
      <c r="J100" s="514" t="n"/>
      <c r="K100" s="514" t="n"/>
      <c r="L100" s="514" t="n"/>
      <c r="M100" s="514" t="n"/>
      <c r="N100" s="514" t="n"/>
      <c r="O100" s="514" t="n"/>
      <c r="P100" s="514" t="n"/>
      <c r="Q100" s="514" t="n"/>
      <c r="R100" s="514" t="n"/>
      <c r="S100" s="514" t="n"/>
      <c r="T100" s="514" t="n"/>
      <c r="U100" s="514" t="n"/>
      <c r="V100" s="514" t="n"/>
      <c r="W100" s="514" t="n"/>
      <c r="X100" s="514" t="n"/>
      <c r="Y100" s="514" t="n"/>
      <c r="Z100" s="440" t="n"/>
      <c r="AA100" s="162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514" t="n"/>
      <c r="I101" s="514" t="n"/>
      <c r="J101" s="514" t="n"/>
      <c r="K101" s="514" t="n"/>
      <c r="L101" s="514" t="n"/>
      <c r="M101" s="514" t="n"/>
      <c r="N101" s="514" t="n"/>
      <c r="O101" s="514" t="n"/>
      <c r="P101" s="514" t="n"/>
      <c r="Q101" s="514" t="n"/>
      <c r="R101" s="514" t="n"/>
      <c r="S101" s="514" t="n"/>
      <c r="T101" s="514" t="n"/>
      <c r="U101" s="514" t="n"/>
      <c r="V101" s="514" t="n"/>
      <c r="W101" s="514" t="n"/>
      <c r="X101" s="514" t="n"/>
      <c r="Y101" s="514" t="n"/>
      <c r="Z101" s="440" t="n"/>
      <c r="AA101" s="162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514" t="n"/>
      <c r="I102" s="514" t="n"/>
      <c r="J102" s="514" t="n"/>
      <c r="K102" s="514" t="n"/>
      <c r="L102" s="514" t="n"/>
      <c r="M102" s="514" t="n"/>
      <c r="N102" s="514" t="n"/>
      <c r="O102" s="514" t="n"/>
      <c r="P102" s="514" t="n"/>
      <c r="Q102" s="514" t="n"/>
      <c r="R102" s="514" t="n"/>
      <c r="S102" s="514" t="n"/>
      <c r="T102" s="514" t="n"/>
      <c r="U102" s="514" t="n"/>
      <c r="V102" s="514" t="n"/>
      <c r="W102" s="514" t="n"/>
      <c r="X102" s="514" t="n"/>
      <c r="Y102" s="514" t="n"/>
      <c r="Z102" s="440" t="n"/>
      <c r="AA102" s="162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514" t="n"/>
      <c r="I103" s="514" t="n"/>
      <c r="J103" s="514" t="n"/>
      <c r="K103" s="514" t="n"/>
      <c r="L103" s="514" t="n"/>
      <c r="M103" s="514" t="n"/>
      <c r="N103" s="514" t="n"/>
      <c r="O103" s="514" t="n"/>
      <c r="P103" s="514" t="n"/>
      <c r="Q103" s="514" t="n"/>
      <c r="R103" s="514" t="n"/>
      <c r="S103" s="514" t="n"/>
      <c r="T103" s="514" t="n"/>
      <c r="U103" s="514" t="n"/>
      <c r="V103" s="514" t="n"/>
      <c r="W103" s="514" t="n"/>
      <c r="X103" s="514" t="n"/>
      <c r="Y103" s="514" t="n"/>
      <c r="Z103" s="440" t="n"/>
      <c r="AA103" s="162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514" t="n"/>
      <c r="I104" s="514" t="n"/>
      <c r="J104" s="514" t="n"/>
      <c r="K104" s="514" t="n"/>
      <c r="L104" s="514" t="n"/>
      <c r="M104" s="514" t="n"/>
      <c r="N104" s="514" t="n"/>
      <c r="O104" s="514" t="n"/>
      <c r="P104" s="514" t="n"/>
      <c r="Q104" s="514" t="n"/>
      <c r="R104" s="514" t="n"/>
      <c r="S104" s="514" t="n"/>
      <c r="T104" s="514" t="n"/>
      <c r="U104" s="514" t="n"/>
      <c r="V104" s="514" t="n"/>
      <c r="W104" s="514" t="n"/>
      <c r="X104" s="514" t="n"/>
      <c r="Y104" s="514" t="n"/>
      <c r="Z104" s="440" t="n"/>
      <c r="AA104" s="162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514" t="n"/>
      <c r="I105" s="514" t="n"/>
      <c r="J105" s="514" t="n"/>
      <c r="K105" s="514" t="n"/>
      <c r="L105" s="514" t="n"/>
      <c r="M105" s="514" t="n"/>
      <c r="N105" s="514" t="n"/>
      <c r="O105" s="514" t="n"/>
      <c r="P105" s="514" t="n"/>
      <c r="Q105" s="514" t="n"/>
      <c r="R105" s="514" t="n"/>
      <c r="S105" s="514" t="n"/>
      <c r="T105" s="514" t="n"/>
      <c r="U105" s="514" t="n"/>
      <c r="V105" s="514" t="n"/>
      <c r="W105" s="514" t="n"/>
      <c r="X105" s="514" t="n"/>
      <c r="Y105" s="514" t="n"/>
      <c r="Z105" s="440" t="n"/>
      <c r="AA105" s="162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514" t="n"/>
      <c r="I106" s="514" t="n"/>
      <c r="J106" s="514" t="n"/>
      <c r="K106" s="514" t="n"/>
      <c r="L106" s="514" t="n"/>
      <c r="M106" s="514" t="n"/>
      <c r="N106" s="514" t="n"/>
      <c r="O106" s="514" t="n"/>
      <c r="P106" s="514" t="n"/>
      <c r="Q106" s="514" t="n"/>
      <c r="R106" s="514" t="n"/>
      <c r="S106" s="514" t="n"/>
      <c r="T106" s="514" t="n"/>
      <c r="U106" s="514" t="n"/>
      <c r="V106" s="514" t="n"/>
      <c r="W106" s="514" t="n"/>
      <c r="X106" s="514" t="n"/>
      <c r="Y106" s="514" t="n"/>
      <c r="Z106" s="440" t="n"/>
      <c r="AA106" s="162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514" t="n"/>
      <c r="I107" s="514" t="n"/>
      <c r="J107" s="514" t="n"/>
      <c r="K107" s="514" t="n"/>
      <c r="L107" s="514" t="n"/>
      <c r="M107" s="514" t="n"/>
      <c r="N107" s="514" t="n"/>
      <c r="O107" s="514" t="n"/>
      <c r="P107" s="514" t="n"/>
      <c r="Q107" s="514" t="n"/>
      <c r="R107" s="514" t="n"/>
      <c r="S107" s="514" t="n"/>
      <c r="T107" s="514" t="n"/>
      <c r="U107" s="514" t="n"/>
      <c r="V107" s="514" t="n"/>
      <c r="W107" s="514" t="n"/>
      <c r="X107" s="514" t="n"/>
      <c r="Y107" s="514" t="n"/>
      <c r="Z107" s="440" t="n"/>
      <c r="AA107" s="162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514" t="n"/>
      <c r="I108" s="514" t="n"/>
      <c r="J108" s="514" t="n"/>
      <c r="K108" s="514" t="n"/>
      <c r="L108" s="514" t="n"/>
      <c r="M108" s="514" t="n"/>
      <c r="N108" s="514" t="n"/>
      <c r="O108" s="514" t="n"/>
      <c r="P108" s="514" t="n"/>
      <c r="Q108" s="514" t="n"/>
      <c r="R108" s="514" t="n"/>
      <c r="S108" s="514" t="n"/>
      <c r="T108" s="514" t="n"/>
      <c r="U108" s="514" t="n"/>
      <c r="V108" s="514" t="n"/>
      <c r="W108" s="514" t="n"/>
      <c r="X108" s="514" t="n"/>
      <c r="Y108" s="514" t="n"/>
      <c r="Z108" s="440" t="n"/>
      <c r="AA108" s="162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514" t="n"/>
      <c r="I109" s="514" t="n"/>
      <c r="J109" s="514" t="n"/>
      <c r="K109" s="514" t="n"/>
      <c r="L109" s="514" t="n"/>
      <c r="M109" s="514" t="n"/>
      <c r="N109" s="514" t="n"/>
      <c r="O109" s="514" t="n"/>
      <c r="P109" s="514" t="n"/>
      <c r="Q109" s="514" t="n"/>
      <c r="R109" s="514" t="n"/>
      <c r="S109" s="514" t="n"/>
      <c r="T109" s="514" t="n"/>
      <c r="U109" s="514" t="n"/>
      <c r="V109" s="514" t="n"/>
      <c r="W109" s="514" t="n"/>
      <c r="X109" s="514" t="n"/>
      <c r="Y109" s="514" t="n"/>
      <c r="Z109" s="440" t="n"/>
      <c r="AA109" s="162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514" t="n"/>
      <c r="I110" s="514" t="n"/>
      <c r="J110" s="514" t="n"/>
      <c r="K110" s="514" t="n"/>
      <c r="L110" s="514" t="n"/>
      <c r="M110" s="514" t="n"/>
      <c r="N110" s="514" t="n"/>
      <c r="O110" s="514" t="n"/>
      <c r="P110" s="514" t="n"/>
      <c r="Q110" s="514" t="n"/>
      <c r="R110" s="514" t="n"/>
      <c r="S110" s="514" t="n"/>
      <c r="T110" s="514" t="n"/>
      <c r="U110" s="514" t="n"/>
      <c r="V110" s="514" t="n"/>
      <c r="W110" s="514" t="n"/>
      <c r="X110" s="514" t="n"/>
      <c r="Y110" s="514" t="n"/>
      <c r="Z110" s="440" t="n"/>
      <c r="AA110" s="162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514" t="n"/>
      <c r="I111" s="514" t="n"/>
      <c r="J111" s="514" t="n"/>
      <c r="K111" s="514" t="n"/>
      <c r="L111" s="514" t="n"/>
      <c r="M111" s="514" t="n"/>
      <c r="N111" s="514" t="n"/>
      <c r="O111" s="514" t="n"/>
      <c r="P111" s="514" t="n"/>
      <c r="Q111" s="514" t="n"/>
      <c r="R111" s="514" t="n"/>
      <c r="S111" s="514" t="n"/>
      <c r="T111" s="514" t="n"/>
      <c r="U111" s="514" t="n"/>
      <c r="V111" s="514" t="n"/>
      <c r="W111" s="514" t="n"/>
      <c r="X111" s="514" t="n"/>
      <c r="Y111" s="514" t="n"/>
      <c r="Z111" s="440" t="n"/>
      <c r="AA111" s="162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514" t="n"/>
      <c r="I112" s="514" t="n"/>
      <c r="J112" s="514" t="n"/>
      <c r="K112" s="514" t="n"/>
      <c r="L112" s="514" t="n"/>
      <c r="M112" s="514" t="n"/>
      <c r="N112" s="514" t="n"/>
      <c r="O112" s="514" t="n"/>
      <c r="P112" s="514" t="n"/>
      <c r="Q112" s="514" t="n"/>
      <c r="R112" s="514" t="n"/>
      <c r="S112" s="514" t="n"/>
      <c r="T112" s="514" t="n"/>
      <c r="U112" s="514" t="n"/>
      <c r="V112" s="514" t="n"/>
      <c r="W112" s="514" t="n"/>
      <c r="X112" s="514" t="n"/>
      <c r="Y112" s="514" t="n"/>
      <c r="Z112" s="440" t="n"/>
      <c r="AA112" s="162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514" t="n"/>
      <c r="I113" s="514" t="n"/>
      <c r="J113" s="514" t="n"/>
      <c r="K113" s="514" t="n"/>
      <c r="L113" s="514" t="n"/>
      <c r="M113" s="514" t="n"/>
      <c r="N113" s="514" t="n"/>
      <c r="O113" s="514" t="n"/>
      <c r="P113" s="514" t="n"/>
      <c r="Q113" s="514" t="n"/>
      <c r="R113" s="514" t="n"/>
      <c r="S113" s="514" t="n"/>
      <c r="T113" s="514" t="n"/>
      <c r="U113" s="514" t="n"/>
      <c r="V113" s="514" t="n"/>
      <c r="W113" s="514" t="n"/>
      <c r="X113" s="514" t="n"/>
      <c r="Y113" s="514" t="n"/>
      <c r="Z113" s="440" t="n"/>
      <c r="AA113" s="162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514" t="n"/>
      <c r="I114" s="514" t="n"/>
      <c r="J114" s="514" t="n"/>
      <c r="K114" s="514" t="n"/>
      <c r="L114" s="514" t="n"/>
      <c r="M114" s="514" t="n"/>
      <c r="N114" s="514" t="n"/>
      <c r="O114" s="514" t="n"/>
      <c r="P114" s="514" t="n"/>
      <c r="Q114" s="514" t="n"/>
      <c r="R114" s="514" t="n"/>
      <c r="S114" s="514" t="n"/>
      <c r="T114" s="514" t="n"/>
      <c r="U114" s="514" t="n"/>
      <c r="V114" s="514" t="n"/>
      <c r="W114" s="514" t="n"/>
      <c r="X114" s="514" t="n"/>
      <c r="Y114" s="514" t="n"/>
      <c r="Z114" s="440" t="n"/>
      <c r="AA114" s="162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514" t="n"/>
      <c r="I115" s="514" t="n"/>
      <c r="J115" s="514" t="n"/>
      <c r="K115" s="514" t="n"/>
      <c r="L115" s="514" t="n"/>
      <c r="M115" s="514" t="n"/>
      <c r="N115" s="514" t="n"/>
      <c r="O115" s="514" t="n"/>
      <c r="P115" s="514" t="n"/>
      <c r="Q115" s="514" t="n"/>
      <c r="R115" s="514" t="n"/>
      <c r="S115" s="514" t="n"/>
      <c r="T115" s="514" t="n"/>
      <c r="U115" s="514" t="n"/>
      <c r="V115" s="514" t="n"/>
      <c r="W115" s="514" t="n"/>
      <c r="X115" s="514" t="n"/>
      <c r="Y115" s="514" t="n"/>
      <c r="Z115" s="440" t="n"/>
      <c r="AA115" s="162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514" t="n"/>
      <c r="I116" s="514" t="n"/>
      <c r="J116" s="514" t="n"/>
      <c r="K116" s="514" t="n"/>
      <c r="L116" s="514" t="n"/>
      <c r="M116" s="514" t="n"/>
      <c r="N116" s="514" t="n"/>
      <c r="O116" s="514" t="n"/>
      <c r="P116" s="514" t="n"/>
      <c r="Q116" s="514" t="n"/>
      <c r="R116" s="514" t="n"/>
      <c r="S116" s="514" t="n"/>
      <c r="T116" s="514" t="n"/>
      <c r="U116" s="514" t="n"/>
      <c r="V116" s="514" t="n"/>
      <c r="W116" s="514" t="n"/>
      <c r="X116" s="514" t="n"/>
      <c r="Y116" s="514" t="n"/>
      <c r="Z116" s="440" t="n"/>
      <c r="AA116" s="162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514" t="n"/>
      <c r="I117" s="514" t="n"/>
      <c r="J117" s="514" t="n"/>
      <c r="K117" s="514" t="n"/>
      <c r="L117" s="514" t="n"/>
      <c r="M117" s="514" t="n"/>
      <c r="N117" s="514" t="n"/>
      <c r="O117" s="514" t="n"/>
      <c r="P117" s="514" t="n"/>
      <c r="Q117" s="514" t="n"/>
      <c r="R117" s="514" t="n"/>
      <c r="S117" s="514" t="n"/>
      <c r="T117" s="514" t="n"/>
      <c r="U117" s="514" t="n"/>
      <c r="V117" s="514" t="n"/>
      <c r="W117" s="514" t="n"/>
      <c r="X117" s="514" t="n"/>
      <c r="Y117" s="514" t="n"/>
      <c r="Z117" s="440" t="n"/>
      <c r="AA117" s="162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514" t="n"/>
      <c r="I118" s="514" t="n"/>
      <c r="J118" s="514" t="n"/>
      <c r="K118" s="514" t="n"/>
      <c r="L118" s="514" t="n"/>
      <c r="M118" s="514" t="n"/>
      <c r="N118" s="514" t="n"/>
      <c r="O118" s="514" t="n"/>
      <c r="P118" s="514" t="n"/>
      <c r="Q118" s="514" t="n"/>
      <c r="R118" s="514" t="n"/>
      <c r="S118" s="514" t="n"/>
      <c r="T118" s="514" t="n"/>
      <c r="U118" s="514" t="n"/>
      <c r="V118" s="514" t="n"/>
      <c r="W118" s="514" t="n"/>
      <c r="X118" s="514" t="n"/>
      <c r="Y118" s="514" t="n"/>
      <c r="Z118" s="440" t="n"/>
      <c r="AA118" s="162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514" t="n"/>
      <c r="I119" s="514" t="n"/>
      <c r="J119" s="514" t="n"/>
      <c r="K119" s="514" t="n"/>
      <c r="L119" s="514" t="n"/>
      <c r="M119" s="514" t="n"/>
      <c r="N119" s="514" t="n"/>
      <c r="O119" s="514" t="n"/>
      <c r="P119" s="514" t="n"/>
      <c r="Q119" s="514" t="n"/>
      <c r="R119" s="514" t="n"/>
      <c r="S119" s="514" t="n"/>
      <c r="T119" s="514" t="n"/>
      <c r="U119" s="514" t="n"/>
      <c r="V119" s="514" t="n"/>
      <c r="W119" s="514" t="n"/>
      <c r="X119" s="514" t="n"/>
      <c r="Y119" s="514" t="n"/>
      <c r="Z119" s="440" t="n"/>
      <c r="AA119" s="162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514" t="n"/>
      <c r="I120" s="514" t="n"/>
      <c r="J120" s="514" t="n"/>
      <c r="K120" s="514" t="n"/>
      <c r="L120" s="514" t="n"/>
      <c r="M120" s="514" t="n"/>
      <c r="N120" s="514" t="n"/>
      <c r="O120" s="514" t="n"/>
      <c r="P120" s="514" t="n"/>
      <c r="Q120" s="514" t="n"/>
      <c r="R120" s="514" t="n"/>
      <c r="S120" s="514" t="n"/>
      <c r="T120" s="514" t="n"/>
      <c r="U120" s="514" t="n"/>
      <c r="V120" s="514" t="n"/>
      <c r="W120" s="514" t="n"/>
      <c r="X120" s="514" t="n"/>
      <c r="Y120" s="514" t="n"/>
      <c r="Z120" s="440" t="n"/>
      <c r="AA120" s="162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514" t="n"/>
      <c r="I121" s="514" t="n"/>
      <c r="J121" s="514" t="n"/>
      <c r="K121" s="514" t="n"/>
      <c r="L121" s="514" t="n"/>
      <c r="M121" s="514" t="n"/>
      <c r="N121" s="514" t="n"/>
      <c r="O121" s="514" t="n"/>
      <c r="P121" s="514" t="n"/>
      <c r="Q121" s="514" t="n"/>
      <c r="R121" s="514" t="n"/>
      <c r="S121" s="514" t="n"/>
      <c r="T121" s="514" t="n"/>
      <c r="U121" s="514" t="n"/>
      <c r="V121" s="514" t="n"/>
      <c r="W121" s="514" t="n"/>
      <c r="X121" s="514" t="n"/>
      <c r="Y121" s="514" t="n"/>
      <c r="Z121" s="440" t="n"/>
      <c r="AA121" s="162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514" t="n"/>
      <c r="I122" s="514" t="n"/>
      <c r="J122" s="514" t="n"/>
      <c r="K122" s="514" t="n"/>
      <c r="L122" s="514" t="n"/>
      <c r="M122" s="514" t="n"/>
      <c r="N122" s="514" t="n"/>
      <c r="O122" s="514" t="n"/>
      <c r="P122" s="514" t="n"/>
      <c r="Q122" s="514" t="n"/>
      <c r="R122" s="514" t="n"/>
      <c r="S122" s="514" t="n"/>
      <c r="T122" s="514" t="n"/>
      <c r="U122" s="514" t="n"/>
      <c r="V122" s="514" t="n"/>
      <c r="W122" s="514" t="n"/>
      <c r="X122" s="514" t="n"/>
      <c r="Y122" s="514" t="n"/>
      <c r="Z122" s="440" t="n"/>
      <c r="AA122" s="162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514" t="n"/>
      <c r="I123" s="514" t="n"/>
      <c r="J123" s="514" t="n"/>
      <c r="K123" s="514" t="n"/>
      <c r="L123" s="514" t="n"/>
      <c r="M123" s="514" t="n"/>
      <c r="N123" s="514" t="n"/>
      <c r="O123" s="514" t="n"/>
      <c r="P123" s="514" t="n"/>
      <c r="Q123" s="514" t="n"/>
      <c r="R123" s="514" t="n"/>
      <c r="S123" s="514" t="n"/>
      <c r="T123" s="514" t="n"/>
      <c r="U123" s="514" t="n"/>
      <c r="V123" s="514" t="n"/>
      <c r="W123" s="514" t="n"/>
      <c r="X123" s="514" t="n"/>
      <c r="Y123" s="514" t="n"/>
      <c r="Z123" s="440" t="n"/>
      <c r="AA123" s="162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514" t="n"/>
      <c r="I124" s="514" t="n"/>
      <c r="J124" s="514" t="n"/>
      <c r="K124" s="514" t="n"/>
      <c r="L124" s="514" t="n"/>
      <c r="M124" s="514" t="n"/>
      <c r="N124" s="514" t="n"/>
      <c r="O124" s="514" t="n"/>
      <c r="P124" s="514" t="n"/>
      <c r="Q124" s="514" t="n"/>
      <c r="R124" s="514" t="n"/>
      <c r="S124" s="514" t="n"/>
      <c r="T124" s="514" t="n"/>
      <c r="U124" s="514" t="n"/>
      <c r="V124" s="514" t="n"/>
      <c r="W124" s="514" t="n"/>
      <c r="X124" s="514" t="n"/>
      <c r="Y124" s="514" t="n"/>
      <c r="Z124" s="440" t="n"/>
      <c r="AA124" s="162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514" t="n"/>
      <c r="I125" s="514" t="n"/>
      <c r="J125" s="514" t="n"/>
      <c r="K125" s="514" t="n"/>
      <c r="L125" s="514" t="n"/>
      <c r="M125" s="514" t="n"/>
      <c r="N125" s="514" t="n"/>
      <c r="O125" s="514" t="n"/>
      <c r="P125" s="514" t="n"/>
      <c r="Q125" s="514" t="n"/>
      <c r="R125" s="514" t="n"/>
      <c r="S125" s="514" t="n"/>
      <c r="T125" s="514" t="n"/>
      <c r="U125" s="514" t="n"/>
      <c r="V125" s="514" t="n"/>
      <c r="W125" s="514" t="n"/>
      <c r="X125" s="514" t="n"/>
      <c r="Y125" s="514" t="n"/>
      <c r="Z125" s="440" t="n"/>
      <c r="AA125" s="162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514" t="n"/>
      <c r="I126" s="514" t="n"/>
      <c r="J126" s="514" t="n"/>
      <c r="K126" s="514" t="n"/>
      <c r="L126" s="514" t="n"/>
      <c r="M126" s="514" t="n"/>
      <c r="N126" s="514" t="n"/>
      <c r="O126" s="514" t="n"/>
      <c r="P126" s="514" t="n"/>
      <c r="Q126" s="514" t="n"/>
      <c r="R126" s="514" t="n"/>
      <c r="S126" s="514" t="n"/>
      <c r="T126" s="514" t="n"/>
      <c r="U126" s="514" t="n"/>
      <c r="V126" s="514" t="n"/>
      <c r="W126" s="514" t="n"/>
      <c r="X126" s="514" t="n"/>
      <c r="Y126" s="514" t="n"/>
      <c r="Z126" s="440" t="n"/>
      <c r="AA126" s="162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514" t="n"/>
      <c r="I127" s="514" t="n"/>
      <c r="J127" s="514" t="n"/>
      <c r="K127" s="514" t="n"/>
      <c r="L127" s="514" t="n"/>
      <c r="M127" s="514" t="n"/>
      <c r="N127" s="514" t="n"/>
      <c r="O127" s="514" t="n"/>
      <c r="P127" s="514" t="n"/>
      <c r="Q127" s="514" t="n"/>
      <c r="R127" s="514" t="n"/>
      <c r="S127" s="514" t="n"/>
      <c r="T127" s="514" t="n"/>
      <c r="U127" s="514" t="n"/>
      <c r="V127" s="514" t="n"/>
      <c r="W127" s="514" t="n"/>
      <c r="X127" s="514" t="n"/>
      <c r="Y127" s="514" t="n"/>
      <c r="Z127" s="440" t="n"/>
      <c r="AA127" s="162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514" t="n"/>
      <c r="I128" s="514" t="n"/>
      <c r="J128" s="514" t="n"/>
      <c r="K128" s="514" t="n"/>
      <c r="L128" s="514" t="n"/>
      <c r="M128" s="514" t="n"/>
      <c r="N128" s="514" t="n"/>
      <c r="O128" s="514" t="n"/>
      <c r="P128" s="514" t="n"/>
      <c r="Q128" s="514" t="n"/>
      <c r="R128" s="514" t="n"/>
      <c r="S128" s="514" t="n"/>
      <c r="T128" s="514" t="n"/>
      <c r="U128" s="514" t="n"/>
      <c r="V128" s="514" t="n"/>
      <c r="W128" s="514" t="n"/>
      <c r="X128" s="514" t="n"/>
      <c r="Y128" s="514" t="n"/>
      <c r="Z128" s="440" t="n"/>
      <c r="AA128" s="162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514" t="n"/>
      <c r="I129" s="514" t="n"/>
      <c r="J129" s="514" t="n"/>
      <c r="K129" s="514" t="n"/>
      <c r="L129" s="514" t="n"/>
      <c r="M129" s="514" t="n"/>
      <c r="N129" s="514" t="n"/>
      <c r="O129" s="514" t="n"/>
      <c r="P129" s="514" t="n"/>
      <c r="Q129" s="514" t="n"/>
      <c r="R129" s="514" t="n"/>
      <c r="S129" s="514" t="n"/>
      <c r="T129" s="514" t="n"/>
      <c r="U129" s="514" t="n"/>
      <c r="V129" s="514" t="n"/>
      <c r="W129" s="514" t="n"/>
      <c r="X129" s="514" t="n"/>
      <c r="Y129" s="514" t="n"/>
      <c r="Z129" s="440" t="n"/>
      <c r="AA129" s="162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514" t="n"/>
      <c r="I130" s="514" t="n"/>
      <c r="J130" s="514" t="n"/>
      <c r="K130" s="514" t="n"/>
      <c r="L130" s="514" t="n"/>
      <c r="M130" s="514" t="n"/>
      <c r="N130" s="514" t="n"/>
      <c r="O130" s="514" t="n"/>
      <c r="P130" s="514" t="n"/>
      <c r="Q130" s="514" t="n"/>
      <c r="R130" s="514" t="n"/>
      <c r="S130" s="514" t="n"/>
      <c r="T130" s="514" t="n"/>
      <c r="U130" s="514" t="n"/>
      <c r="V130" s="514" t="n"/>
      <c r="W130" s="514" t="n"/>
      <c r="X130" s="514" t="n"/>
      <c r="Y130" s="514" t="n"/>
      <c r="Z130" s="440" t="n"/>
      <c r="AA130" s="162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514" t="n"/>
      <c r="I131" s="514" t="n"/>
      <c r="J131" s="514" t="n"/>
      <c r="K131" s="514" t="n"/>
      <c r="L131" s="514" t="n"/>
      <c r="M131" s="514" t="n"/>
      <c r="N131" s="514" t="n"/>
      <c r="O131" s="514" t="n"/>
      <c r="P131" s="514" t="n"/>
      <c r="Q131" s="514" t="n"/>
      <c r="R131" s="514" t="n"/>
      <c r="S131" s="514" t="n"/>
      <c r="T131" s="514" t="n"/>
      <c r="U131" s="514" t="n"/>
      <c r="V131" s="514" t="n"/>
      <c r="W131" s="514" t="n"/>
      <c r="X131" s="514" t="n"/>
      <c r="Y131" s="514" t="n"/>
      <c r="Z131" s="440" t="n"/>
      <c r="AA131" s="162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514" t="n"/>
      <c r="I132" s="514" t="n"/>
      <c r="J132" s="514" t="n"/>
      <c r="K132" s="514" t="n"/>
      <c r="L132" s="514" t="n"/>
      <c r="M132" s="514" t="n"/>
      <c r="N132" s="514" t="n"/>
      <c r="O132" s="514" t="n"/>
      <c r="P132" s="514" t="n"/>
      <c r="Q132" s="514" t="n"/>
      <c r="R132" s="514" t="n"/>
      <c r="S132" s="514" t="n"/>
      <c r="T132" s="514" t="n"/>
      <c r="U132" s="514" t="n"/>
      <c r="V132" s="514" t="n"/>
      <c r="W132" s="514" t="n"/>
      <c r="X132" s="514" t="n"/>
      <c r="Y132" s="514" t="n"/>
      <c r="Z132" s="440" t="n"/>
      <c r="AA132" s="162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514" t="n"/>
      <c r="I133" s="514" t="n"/>
      <c r="J133" s="514" t="n"/>
      <c r="K133" s="514" t="n"/>
      <c r="L133" s="514" t="n"/>
      <c r="M133" s="514" t="n"/>
      <c r="N133" s="514" t="n"/>
      <c r="O133" s="514" t="n"/>
      <c r="P133" s="514" t="n"/>
      <c r="Q133" s="514" t="n"/>
      <c r="R133" s="514" t="n"/>
      <c r="S133" s="514" t="n"/>
      <c r="T133" s="514" t="n"/>
      <c r="U133" s="514" t="n"/>
      <c r="V133" s="514" t="n"/>
      <c r="W133" s="514" t="n"/>
      <c r="X133" s="514" t="n"/>
      <c r="Y133" s="514" t="n"/>
      <c r="Z133" s="440" t="n"/>
      <c r="AA133" s="162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514" t="n"/>
      <c r="I134" s="514" t="n"/>
      <c r="J134" s="514" t="n"/>
      <c r="K134" s="514" t="n"/>
      <c r="L134" s="514" t="n"/>
      <c r="M134" s="514" t="n"/>
      <c r="N134" s="514" t="n"/>
      <c r="O134" s="514" t="n"/>
      <c r="P134" s="514" t="n"/>
      <c r="Q134" s="514" t="n"/>
      <c r="R134" s="514" t="n"/>
      <c r="S134" s="514" t="n"/>
      <c r="T134" s="514" t="n"/>
      <c r="U134" s="514" t="n"/>
      <c r="V134" s="514" t="n"/>
      <c r="W134" s="514" t="n"/>
      <c r="X134" s="514" t="n"/>
      <c r="Y134" s="514" t="n"/>
      <c r="Z134" s="440" t="n"/>
      <c r="AA134" s="162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514" t="n"/>
      <c r="I135" s="514" t="n"/>
      <c r="J135" s="514" t="n"/>
      <c r="K135" s="514" t="n"/>
      <c r="L135" s="514" t="n"/>
      <c r="M135" s="514" t="n"/>
      <c r="N135" s="514" t="n"/>
      <c r="O135" s="514" t="n"/>
      <c r="P135" s="514" t="n"/>
      <c r="Q135" s="514" t="n"/>
      <c r="R135" s="514" t="n"/>
      <c r="S135" s="514" t="n"/>
      <c r="T135" s="514" t="n"/>
      <c r="U135" s="514" t="n"/>
      <c r="V135" s="514" t="n"/>
      <c r="W135" s="514" t="n"/>
      <c r="X135" s="514" t="n"/>
      <c r="Y135" s="514" t="n"/>
      <c r="Z135" s="440" t="n"/>
      <c r="AA135" s="162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514" t="n"/>
      <c r="I136" s="514" t="n"/>
      <c r="J136" s="514" t="n"/>
      <c r="K136" s="514" t="n"/>
      <c r="L136" s="514" t="n"/>
      <c r="M136" s="514" t="n"/>
      <c r="N136" s="514" t="n"/>
      <c r="O136" s="514" t="n"/>
      <c r="P136" s="514" t="n"/>
      <c r="Q136" s="514" t="n"/>
      <c r="R136" s="514" t="n"/>
      <c r="S136" s="514" t="n"/>
      <c r="T136" s="514" t="n"/>
      <c r="U136" s="514" t="n"/>
      <c r="V136" s="514" t="n"/>
      <c r="W136" s="514" t="n"/>
      <c r="X136" s="514" t="n"/>
      <c r="Y136" s="514" t="n"/>
      <c r="Z136" s="440" t="n"/>
      <c r="AA136" s="162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514" t="n"/>
      <c r="I137" s="514" t="n"/>
      <c r="J137" s="514" t="n"/>
      <c r="K137" s="514" t="n"/>
      <c r="L137" s="514" t="n"/>
      <c r="M137" s="514" t="n"/>
      <c r="N137" s="514" t="n"/>
      <c r="O137" s="514" t="n"/>
      <c r="P137" s="514" t="n"/>
      <c r="Q137" s="514" t="n"/>
      <c r="R137" s="514" t="n"/>
      <c r="S137" s="514" t="n"/>
      <c r="T137" s="514" t="n"/>
      <c r="U137" s="514" t="n"/>
      <c r="V137" s="514" t="n"/>
      <c r="W137" s="514" t="n"/>
      <c r="X137" s="514" t="n"/>
      <c r="Y137" s="514" t="n"/>
      <c r="Z137" s="440" t="n"/>
      <c r="AA137" s="162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514" t="n"/>
      <c r="I138" s="514" t="n"/>
      <c r="J138" s="514" t="n"/>
      <c r="K138" s="514" t="n"/>
      <c r="L138" s="514" t="n"/>
      <c r="M138" s="514" t="n"/>
      <c r="N138" s="514" t="n"/>
      <c r="O138" s="514" t="n"/>
      <c r="P138" s="514" t="n"/>
      <c r="Q138" s="514" t="n"/>
      <c r="R138" s="514" t="n"/>
      <c r="S138" s="514" t="n"/>
      <c r="T138" s="514" t="n"/>
      <c r="U138" s="514" t="n"/>
      <c r="V138" s="514" t="n"/>
      <c r="W138" s="514" t="n"/>
      <c r="X138" s="514" t="n"/>
      <c r="Y138" s="514" t="n"/>
      <c r="Z138" s="440" t="n"/>
      <c r="AA138" s="162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514" t="n"/>
      <c r="I139" s="514" t="n"/>
      <c r="J139" s="514" t="n"/>
      <c r="K139" s="514" t="n"/>
      <c r="L139" s="514" t="n"/>
      <c r="M139" s="514" t="n"/>
      <c r="N139" s="514" t="n"/>
      <c r="O139" s="514" t="n"/>
      <c r="P139" s="514" t="n"/>
      <c r="Q139" s="514" t="n"/>
      <c r="R139" s="514" t="n"/>
      <c r="S139" s="514" t="n"/>
      <c r="T139" s="514" t="n"/>
      <c r="U139" s="514" t="n"/>
      <c r="V139" s="514" t="n"/>
      <c r="W139" s="514" t="n"/>
      <c r="X139" s="514" t="n"/>
      <c r="Y139" s="514" t="n"/>
      <c r="Z139" s="440" t="n"/>
      <c r="AA139" s="162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514" t="n"/>
      <c r="I140" s="514" t="n"/>
      <c r="J140" s="514" t="n"/>
      <c r="K140" s="514" t="n"/>
      <c r="L140" s="514" t="n"/>
      <c r="M140" s="514" t="n"/>
      <c r="N140" s="514" t="n"/>
      <c r="O140" s="514" t="n"/>
      <c r="P140" s="514" t="n"/>
      <c r="Q140" s="514" t="n"/>
      <c r="R140" s="514" t="n"/>
      <c r="S140" s="514" t="n"/>
      <c r="T140" s="514" t="n"/>
      <c r="U140" s="514" t="n"/>
      <c r="V140" s="514" t="n"/>
      <c r="W140" s="514" t="n"/>
      <c r="X140" s="514" t="n"/>
      <c r="Y140" s="514" t="n"/>
      <c r="Z140" s="440" t="n"/>
      <c r="AA140" s="162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514" t="n"/>
      <c r="I141" s="514" t="n"/>
      <c r="J141" s="514" t="n"/>
      <c r="K141" s="514" t="n"/>
      <c r="L141" s="514" t="n"/>
      <c r="M141" s="514" t="n"/>
      <c r="N141" s="514" t="n"/>
      <c r="O141" s="514" t="n"/>
      <c r="P141" s="514" t="n"/>
      <c r="Q141" s="514" t="n"/>
      <c r="R141" s="514" t="n"/>
      <c r="S141" s="514" t="n"/>
      <c r="T141" s="514" t="n"/>
      <c r="U141" s="514" t="n"/>
      <c r="V141" s="514" t="n"/>
      <c r="W141" s="514" t="n"/>
      <c r="X141" s="514" t="n"/>
      <c r="Y141" s="514" t="n"/>
      <c r="Z141" s="440" t="n"/>
      <c r="AA141" s="162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514" t="n"/>
      <c r="I142" s="514" t="n"/>
      <c r="J142" s="514" t="n"/>
      <c r="K142" s="514" t="n"/>
      <c r="L142" s="514" t="n"/>
      <c r="M142" s="514" t="n"/>
      <c r="N142" s="514" t="n"/>
      <c r="O142" s="514" t="n"/>
      <c r="P142" s="514" t="n"/>
      <c r="Q142" s="514" t="n"/>
      <c r="R142" s="514" t="n"/>
      <c r="S142" s="514" t="n"/>
      <c r="T142" s="514" t="n"/>
      <c r="U142" s="514" t="n"/>
      <c r="V142" s="514" t="n"/>
      <c r="W142" s="514" t="n"/>
      <c r="X142" s="514" t="n"/>
      <c r="Y142" s="514" t="n"/>
      <c r="Z142" s="440" t="n"/>
      <c r="AA142" s="162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514" t="n"/>
      <c r="I143" s="514" t="n"/>
      <c r="J143" s="514" t="n"/>
      <c r="K143" s="514" t="n"/>
      <c r="L143" s="514" t="n"/>
      <c r="M143" s="514" t="n"/>
      <c r="N143" s="514" t="n"/>
      <c r="O143" s="514" t="n"/>
      <c r="P143" s="514" t="n"/>
      <c r="Q143" s="514" t="n"/>
      <c r="R143" s="514" t="n"/>
      <c r="S143" s="514" t="n"/>
      <c r="T143" s="514" t="n"/>
      <c r="U143" s="514" t="n"/>
      <c r="V143" s="514" t="n"/>
      <c r="W143" s="514" t="n"/>
      <c r="X143" s="514" t="n"/>
      <c r="Y143" s="514" t="n"/>
      <c r="Z143" s="440" t="n"/>
      <c r="AA143" s="162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514" t="n"/>
      <c r="I144" s="514" t="n"/>
      <c r="J144" s="514" t="n"/>
      <c r="K144" s="514" t="n"/>
      <c r="L144" s="514" t="n"/>
      <c r="M144" s="514" t="n"/>
      <c r="N144" s="514" t="n"/>
      <c r="O144" s="514" t="n"/>
      <c r="P144" s="514" t="n"/>
      <c r="Q144" s="514" t="n"/>
      <c r="R144" s="514" t="n"/>
      <c r="S144" s="514" t="n"/>
      <c r="T144" s="514" t="n"/>
      <c r="U144" s="514" t="n"/>
      <c r="V144" s="514" t="n"/>
      <c r="W144" s="514" t="n"/>
      <c r="X144" s="514" t="n"/>
      <c r="Y144" s="514" t="n"/>
      <c r="Z144" s="440" t="n"/>
      <c r="AA144" s="162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514" t="n"/>
      <c r="I145" s="514" t="n"/>
      <c r="J145" s="514" t="n"/>
      <c r="K145" s="514" t="n"/>
      <c r="L145" s="514" t="n"/>
      <c r="M145" s="514" t="n"/>
      <c r="N145" s="514" t="n"/>
      <c r="O145" s="514" t="n"/>
      <c r="P145" s="514" t="n"/>
      <c r="Q145" s="514" t="n"/>
      <c r="R145" s="514" t="n"/>
      <c r="S145" s="514" t="n"/>
      <c r="T145" s="514" t="n"/>
      <c r="U145" s="514" t="n"/>
      <c r="V145" s="514" t="n"/>
      <c r="W145" s="514" t="n"/>
      <c r="X145" s="514" t="n"/>
      <c r="Y145" s="514" t="n"/>
      <c r="Z145" s="440" t="n"/>
      <c r="AA145" s="162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514" t="n"/>
      <c r="I146" s="514" t="n"/>
      <c r="J146" s="514" t="n"/>
      <c r="K146" s="514" t="n"/>
      <c r="L146" s="514" t="n"/>
      <c r="M146" s="514" t="n"/>
      <c r="N146" s="514" t="n"/>
      <c r="O146" s="514" t="n"/>
      <c r="P146" s="514" t="n"/>
      <c r="Q146" s="514" t="n"/>
      <c r="R146" s="514" t="n"/>
      <c r="S146" s="514" t="n"/>
      <c r="T146" s="514" t="n"/>
      <c r="U146" s="514" t="n"/>
      <c r="V146" s="514" t="n"/>
      <c r="W146" s="514" t="n"/>
      <c r="X146" s="514" t="n"/>
      <c r="Y146" s="514" t="n"/>
      <c r="Z146" s="440" t="n"/>
      <c r="AA146" s="162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514" t="n"/>
      <c r="I147" s="514" t="n"/>
      <c r="J147" s="514" t="n"/>
      <c r="K147" s="514" t="n"/>
      <c r="L147" s="514" t="n"/>
      <c r="M147" s="514" t="n"/>
      <c r="N147" s="514" t="n"/>
      <c r="O147" s="514" t="n"/>
      <c r="P147" s="514" t="n"/>
      <c r="Q147" s="514" t="n"/>
      <c r="R147" s="514" t="n"/>
      <c r="S147" s="514" t="n"/>
      <c r="T147" s="514" t="n"/>
      <c r="U147" s="514" t="n"/>
      <c r="V147" s="514" t="n"/>
      <c r="W147" s="514" t="n"/>
      <c r="X147" s="514" t="n"/>
      <c r="Y147" s="514" t="n"/>
      <c r="Z147" s="440" t="n"/>
      <c r="AA147" s="162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514" t="n"/>
      <c r="I148" s="514" t="n"/>
      <c r="J148" s="514" t="n"/>
      <c r="K148" s="514" t="n"/>
      <c r="L148" s="514" t="n"/>
      <c r="M148" s="514" t="n"/>
      <c r="N148" s="514" t="n"/>
      <c r="O148" s="514" t="n"/>
      <c r="P148" s="514" t="n"/>
      <c r="Q148" s="514" t="n"/>
      <c r="R148" s="514" t="n"/>
      <c r="S148" s="514" t="n"/>
      <c r="T148" s="514" t="n"/>
      <c r="U148" s="514" t="n"/>
      <c r="V148" s="514" t="n"/>
      <c r="W148" s="514" t="n"/>
      <c r="X148" s="514" t="n"/>
      <c r="Y148" s="514" t="n"/>
      <c r="Z148" s="440" t="n"/>
      <c r="AA148" s="162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514" t="n"/>
      <c r="I149" s="514" t="n"/>
      <c r="J149" s="514" t="n"/>
      <c r="K149" s="514" t="n"/>
      <c r="L149" s="514" t="n"/>
      <c r="M149" s="514" t="n"/>
      <c r="N149" s="514" t="n"/>
      <c r="O149" s="514" t="n"/>
      <c r="P149" s="514" t="n"/>
      <c r="Q149" s="514" t="n"/>
      <c r="R149" s="514" t="n"/>
      <c r="S149" s="514" t="n"/>
      <c r="T149" s="514" t="n"/>
      <c r="U149" s="514" t="n"/>
      <c r="V149" s="514" t="n"/>
      <c r="W149" s="514" t="n"/>
      <c r="X149" s="514" t="n"/>
      <c r="Y149" s="514" t="n"/>
      <c r="Z149" s="440" t="n"/>
      <c r="AA149" s="162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514" t="n"/>
      <c r="I150" s="514" t="n"/>
      <c r="J150" s="514" t="n"/>
      <c r="K150" s="514" t="n"/>
      <c r="L150" s="514" t="n"/>
      <c r="M150" s="514" t="n"/>
      <c r="N150" s="514" t="n"/>
      <c r="O150" s="514" t="n"/>
      <c r="P150" s="514" t="n"/>
      <c r="Q150" s="514" t="n"/>
      <c r="R150" s="514" t="n"/>
      <c r="S150" s="514" t="n"/>
      <c r="T150" s="514" t="n"/>
      <c r="U150" s="514" t="n"/>
      <c r="V150" s="514" t="n"/>
      <c r="W150" s="514" t="n"/>
      <c r="X150" s="514" t="n"/>
      <c r="Y150" s="514" t="n"/>
      <c r="Z150" s="440" t="n"/>
      <c r="AA150" s="162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514" t="n"/>
      <c r="I151" s="514" t="n"/>
      <c r="J151" s="514" t="n"/>
      <c r="K151" s="514" t="n"/>
      <c r="L151" s="514" t="n"/>
      <c r="M151" s="514" t="n"/>
      <c r="N151" s="514" t="n"/>
      <c r="O151" s="514" t="n"/>
      <c r="P151" s="514" t="n"/>
      <c r="Q151" s="514" t="n"/>
      <c r="R151" s="514" t="n"/>
      <c r="S151" s="514" t="n"/>
      <c r="T151" s="514" t="n"/>
      <c r="U151" s="514" t="n"/>
      <c r="V151" s="514" t="n"/>
      <c r="W151" s="514" t="n"/>
      <c r="X151" s="514" t="n"/>
      <c r="Y151" s="514" t="n"/>
      <c r="Z151" s="440" t="n"/>
      <c r="AA151" s="162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514" t="n"/>
      <c r="I152" s="514" t="n"/>
      <c r="J152" s="514" t="n"/>
      <c r="K152" s="514" t="n"/>
      <c r="L152" s="514" t="n"/>
      <c r="M152" s="514" t="n"/>
      <c r="N152" s="514" t="n"/>
      <c r="O152" s="514" t="n"/>
      <c r="P152" s="514" t="n"/>
      <c r="Q152" s="514" t="n"/>
      <c r="R152" s="514" t="n"/>
      <c r="S152" s="514" t="n"/>
      <c r="T152" s="514" t="n"/>
      <c r="U152" s="514" t="n"/>
      <c r="V152" s="514" t="n"/>
      <c r="W152" s="514" t="n"/>
      <c r="X152" s="514" t="n"/>
      <c r="Y152" s="514" t="n"/>
      <c r="Z152" s="440" t="n"/>
      <c r="AA152" s="162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514" t="n"/>
      <c r="I153" s="514" t="n"/>
      <c r="J153" s="514" t="n"/>
      <c r="K153" s="514" t="n"/>
      <c r="L153" s="514" t="n"/>
      <c r="M153" s="514" t="n"/>
      <c r="N153" s="514" t="n"/>
      <c r="O153" s="514" t="n"/>
      <c r="P153" s="514" t="n"/>
      <c r="Q153" s="514" t="n"/>
      <c r="R153" s="514" t="n"/>
      <c r="S153" s="514" t="n"/>
      <c r="T153" s="514" t="n"/>
      <c r="U153" s="514" t="n"/>
      <c r="V153" s="514" t="n"/>
      <c r="W153" s="514" t="n"/>
      <c r="X153" s="514" t="n"/>
      <c r="Y153" s="514" t="n"/>
      <c r="Z153" s="440" t="n"/>
      <c r="AA153" s="162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514" t="n"/>
      <c r="I154" s="514" t="n"/>
      <c r="J154" s="514" t="n"/>
      <c r="K154" s="514" t="n"/>
      <c r="L154" s="514" t="n"/>
      <c r="M154" s="514" t="n"/>
      <c r="N154" s="514" t="n"/>
      <c r="O154" s="514" t="n"/>
      <c r="P154" s="514" t="n"/>
      <c r="Q154" s="514" t="n"/>
      <c r="R154" s="514" t="n"/>
      <c r="S154" s="514" t="n"/>
      <c r="T154" s="514" t="n"/>
      <c r="U154" s="514" t="n"/>
      <c r="V154" s="514" t="n"/>
      <c r="W154" s="514" t="n"/>
      <c r="X154" s="514" t="n"/>
      <c r="Y154" s="514" t="n"/>
      <c r="Z154" s="440" t="n"/>
      <c r="AA154" s="162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514" t="n"/>
      <c r="I155" s="514" t="n"/>
      <c r="J155" s="514" t="n"/>
      <c r="K155" s="514" t="n"/>
      <c r="L155" s="514" t="n"/>
      <c r="M155" s="514" t="n"/>
      <c r="N155" s="514" t="n"/>
      <c r="O155" s="514" t="n"/>
      <c r="P155" s="514" t="n"/>
      <c r="Q155" s="514" t="n"/>
      <c r="R155" s="514" t="n"/>
      <c r="S155" s="514" t="n"/>
      <c r="T155" s="514" t="n"/>
      <c r="U155" s="514" t="n"/>
      <c r="V155" s="514" t="n"/>
      <c r="W155" s="514" t="n"/>
      <c r="X155" s="514" t="n"/>
      <c r="Y155" s="514" t="n"/>
      <c r="Z155" s="440" t="n"/>
      <c r="AA155" s="162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514" t="n"/>
      <c r="I156" s="514" t="n"/>
      <c r="J156" s="514" t="n"/>
      <c r="K156" s="514" t="n"/>
      <c r="L156" s="514" t="n"/>
      <c r="M156" s="514" t="n"/>
      <c r="N156" s="514" t="n"/>
      <c r="O156" s="514" t="n"/>
      <c r="P156" s="514" t="n"/>
      <c r="Q156" s="514" t="n"/>
      <c r="R156" s="514" t="n"/>
      <c r="S156" s="514" t="n"/>
      <c r="T156" s="514" t="n"/>
      <c r="U156" s="514" t="n"/>
      <c r="V156" s="514" t="n"/>
      <c r="W156" s="514" t="n"/>
      <c r="X156" s="514" t="n"/>
      <c r="Y156" s="514" t="n"/>
      <c r="Z156" s="440" t="n"/>
      <c r="AA156" s="162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514" t="n"/>
      <c r="I157" s="514" t="n"/>
      <c r="J157" s="514" t="n"/>
      <c r="K157" s="514" t="n"/>
      <c r="L157" s="514" t="n"/>
      <c r="M157" s="514" t="n"/>
      <c r="N157" s="514" t="n"/>
      <c r="O157" s="514" t="n"/>
      <c r="P157" s="514" t="n"/>
      <c r="Q157" s="514" t="n"/>
      <c r="R157" s="514" t="n"/>
      <c r="S157" s="514" t="n"/>
      <c r="T157" s="514" t="n"/>
      <c r="U157" s="514" t="n"/>
      <c r="V157" s="514" t="n"/>
      <c r="W157" s="514" t="n"/>
      <c r="X157" s="514" t="n"/>
      <c r="Y157" s="514" t="n"/>
      <c r="Z157" s="440" t="n"/>
      <c r="AA157" s="162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514" t="n"/>
      <c r="I158" s="514" t="n"/>
      <c r="J158" s="514" t="n"/>
      <c r="K158" s="514" t="n"/>
      <c r="L158" s="514" t="n"/>
      <c r="M158" s="514" t="n"/>
      <c r="N158" s="514" t="n"/>
      <c r="O158" s="514" t="n"/>
      <c r="P158" s="514" t="n"/>
      <c r="Q158" s="514" t="n"/>
      <c r="R158" s="514" t="n"/>
      <c r="S158" s="514" t="n"/>
      <c r="T158" s="514" t="n"/>
      <c r="U158" s="514" t="n"/>
      <c r="V158" s="514" t="n"/>
      <c r="W158" s="514" t="n"/>
      <c r="X158" s="514" t="n"/>
      <c r="Y158" s="514" t="n"/>
      <c r="Z158" s="440" t="n"/>
      <c r="AA158" s="162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514" t="n"/>
      <c r="I159" s="514" t="n"/>
      <c r="J159" s="514" t="n"/>
      <c r="K159" s="514" t="n"/>
      <c r="L159" s="514" t="n"/>
      <c r="M159" s="514" t="n"/>
      <c r="N159" s="514" t="n"/>
      <c r="O159" s="514" t="n"/>
      <c r="P159" s="514" t="n"/>
      <c r="Q159" s="514" t="n"/>
      <c r="R159" s="514" t="n"/>
      <c r="S159" s="514" t="n"/>
      <c r="T159" s="514" t="n"/>
      <c r="U159" s="514" t="n"/>
      <c r="V159" s="514" t="n"/>
      <c r="W159" s="514" t="n"/>
      <c r="X159" s="514" t="n"/>
      <c r="Y159" s="514" t="n"/>
      <c r="Z159" s="440" t="n"/>
      <c r="AA159" s="162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514" t="n"/>
      <c r="I160" s="514" t="n"/>
      <c r="J160" s="514" t="n"/>
      <c r="K160" s="514" t="n"/>
      <c r="L160" s="514" t="n"/>
      <c r="M160" s="514" t="n"/>
      <c r="N160" s="514" t="n"/>
      <c r="O160" s="514" t="n"/>
      <c r="P160" s="514" t="n"/>
      <c r="Q160" s="514" t="n"/>
      <c r="R160" s="514" t="n"/>
      <c r="S160" s="514" t="n"/>
      <c r="T160" s="514" t="n"/>
      <c r="U160" s="514" t="n"/>
      <c r="V160" s="514" t="n"/>
      <c r="W160" s="514" t="n"/>
      <c r="X160" s="514" t="n"/>
      <c r="Y160" s="514" t="n"/>
      <c r="Z160" s="440" t="n"/>
      <c r="AA160" s="162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514" t="n"/>
      <c r="I161" s="514" t="n"/>
      <c r="J161" s="514" t="n"/>
      <c r="K161" s="514" t="n"/>
      <c r="L161" s="514" t="n"/>
      <c r="M161" s="514" t="n"/>
      <c r="N161" s="514" t="n"/>
      <c r="O161" s="514" t="n"/>
      <c r="P161" s="514" t="n"/>
      <c r="Q161" s="514" t="n"/>
      <c r="R161" s="514" t="n"/>
      <c r="S161" s="514" t="n"/>
      <c r="T161" s="514" t="n"/>
      <c r="U161" s="514" t="n"/>
      <c r="V161" s="514" t="n"/>
      <c r="W161" s="514" t="n"/>
      <c r="X161" s="514" t="n"/>
      <c r="Y161" s="514" t="n"/>
      <c r="Z161" s="440" t="n"/>
      <c r="AA161" s="162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514" t="n"/>
      <c r="I162" s="514" t="n"/>
      <c r="J162" s="514" t="n"/>
      <c r="K162" s="514" t="n"/>
      <c r="L162" s="514" t="n"/>
      <c r="M162" s="514" t="n"/>
      <c r="N162" s="514" t="n"/>
      <c r="O162" s="514" t="n"/>
      <c r="P162" s="514" t="n"/>
      <c r="Q162" s="514" t="n"/>
      <c r="R162" s="514" t="n"/>
      <c r="S162" s="514" t="n"/>
      <c r="T162" s="514" t="n"/>
      <c r="U162" s="514" t="n"/>
      <c r="V162" s="514" t="n"/>
      <c r="W162" s="514" t="n"/>
      <c r="X162" s="514" t="n"/>
      <c r="Y162" s="514" t="n"/>
      <c r="Z162" s="440" t="n"/>
      <c r="AA162" s="162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514" t="n"/>
      <c r="I163" s="514" t="n"/>
      <c r="J163" s="514" t="n"/>
      <c r="K163" s="514" t="n"/>
      <c r="L163" s="514" t="n"/>
      <c r="M163" s="514" t="n"/>
      <c r="N163" s="514" t="n"/>
      <c r="O163" s="514" t="n"/>
      <c r="P163" s="514" t="n"/>
      <c r="Q163" s="514" t="n"/>
      <c r="R163" s="514" t="n"/>
      <c r="S163" s="514" t="n"/>
      <c r="T163" s="514" t="n"/>
      <c r="U163" s="514" t="n"/>
      <c r="V163" s="514" t="n"/>
      <c r="W163" s="514" t="n"/>
      <c r="X163" s="514" t="n"/>
      <c r="Y163" s="514" t="n"/>
      <c r="Z163" s="440" t="n"/>
      <c r="AA163" s="162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514" t="n"/>
      <c r="I164" s="514" t="n"/>
      <c r="J164" s="514" t="n"/>
      <c r="K164" s="514" t="n"/>
      <c r="L164" s="514" t="n"/>
      <c r="M164" s="514" t="n"/>
      <c r="N164" s="514" t="n"/>
      <c r="O164" s="514" t="n"/>
      <c r="P164" s="514" t="n"/>
      <c r="Q164" s="514" t="n"/>
      <c r="R164" s="514" t="n"/>
      <c r="S164" s="514" t="n"/>
      <c r="T164" s="514" t="n"/>
      <c r="U164" s="514" t="n"/>
      <c r="V164" s="514" t="n"/>
      <c r="W164" s="514" t="n"/>
      <c r="X164" s="514" t="n"/>
      <c r="Y164" s="514" t="n"/>
      <c r="Z164" s="440" t="n"/>
      <c r="AA164" s="162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514" t="n"/>
      <c r="I165" s="514" t="n"/>
      <c r="J165" s="514" t="n"/>
      <c r="K165" s="514" t="n"/>
      <c r="L165" s="514" t="n"/>
      <c r="M165" s="514" t="n"/>
      <c r="N165" s="514" t="n"/>
      <c r="O165" s="514" t="n"/>
      <c r="P165" s="514" t="n"/>
      <c r="Q165" s="514" t="n"/>
      <c r="R165" s="514" t="n"/>
      <c r="S165" s="514" t="n"/>
      <c r="T165" s="514" t="n"/>
      <c r="U165" s="514" t="n"/>
      <c r="V165" s="514" t="n"/>
      <c r="W165" s="514" t="n"/>
      <c r="X165" s="514" t="n"/>
      <c r="Y165" s="514" t="n"/>
      <c r="Z165" s="440" t="n"/>
      <c r="AA165" s="162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514" t="n"/>
      <c r="I166" s="514" t="n"/>
      <c r="J166" s="514" t="n"/>
      <c r="K166" s="514" t="n"/>
      <c r="L166" s="514" t="n"/>
      <c r="M166" s="514" t="n"/>
      <c r="N166" s="514" t="n"/>
      <c r="O166" s="514" t="n"/>
      <c r="P166" s="514" t="n"/>
      <c r="Q166" s="514" t="n"/>
      <c r="R166" s="514" t="n"/>
      <c r="S166" s="514" t="n"/>
      <c r="T166" s="514" t="n"/>
      <c r="U166" s="514" t="n"/>
      <c r="V166" s="514" t="n"/>
      <c r="W166" s="514" t="n"/>
      <c r="X166" s="514" t="n"/>
      <c r="Y166" s="514" t="n"/>
      <c r="Z166" s="440" t="n"/>
      <c r="AA166" s="162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514" t="n"/>
      <c r="I167" s="514" t="n"/>
      <c r="J167" s="514" t="n"/>
      <c r="K167" s="514" t="n"/>
      <c r="L167" s="514" t="n"/>
      <c r="M167" s="514" t="n"/>
      <c r="N167" s="514" t="n"/>
      <c r="O167" s="514" t="n"/>
      <c r="P167" s="514" t="n"/>
      <c r="Q167" s="514" t="n"/>
      <c r="R167" s="514" t="n"/>
      <c r="S167" s="514" t="n"/>
      <c r="T167" s="514" t="n"/>
      <c r="U167" s="514" t="n"/>
      <c r="V167" s="514" t="n"/>
      <c r="W167" s="514" t="n"/>
      <c r="X167" s="514" t="n"/>
      <c r="Y167" s="514" t="n"/>
      <c r="Z167" s="440" t="n"/>
      <c r="AA167" s="162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514" t="n"/>
      <c r="I168" s="514" t="n"/>
      <c r="J168" s="514" t="n"/>
      <c r="K168" s="514" t="n"/>
      <c r="L168" s="514" t="n"/>
      <c r="M168" s="514" t="n"/>
      <c r="N168" s="514" t="n"/>
      <c r="O168" s="514" t="n"/>
      <c r="P168" s="514" t="n"/>
      <c r="Q168" s="514" t="n"/>
      <c r="R168" s="514" t="n"/>
      <c r="S168" s="514" t="n"/>
      <c r="T168" s="514" t="n"/>
      <c r="U168" s="514" t="n"/>
      <c r="V168" s="514" t="n"/>
      <c r="W168" s="514" t="n"/>
      <c r="X168" s="514" t="n"/>
      <c r="Y168" s="514" t="n"/>
      <c r="Z168" s="440" t="n"/>
      <c r="AA168" s="162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514" t="n"/>
      <c r="I169" s="514" t="n"/>
      <c r="J169" s="514" t="n"/>
      <c r="K169" s="514" t="n"/>
      <c r="L169" s="514" t="n"/>
      <c r="M169" s="514" t="n"/>
      <c r="N169" s="514" t="n"/>
      <c r="O169" s="514" t="n"/>
      <c r="P169" s="514" t="n"/>
      <c r="Q169" s="514" t="n"/>
      <c r="R169" s="514" t="n"/>
      <c r="S169" s="514" t="n"/>
      <c r="T169" s="514" t="n"/>
      <c r="U169" s="514" t="n"/>
      <c r="V169" s="514" t="n"/>
      <c r="W169" s="514" t="n"/>
      <c r="X169" s="514" t="n"/>
      <c r="Y169" s="514" t="n"/>
      <c r="Z169" s="440" t="n"/>
      <c r="AA169" s="162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514" t="n"/>
      <c r="I170" s="514" t="n"/>
      <c r="J170" s="514" t="n"/>
      <c r="K170" s="514" t="n"/>
      <c r="L170" s="514" t="n"/>
      <c r="M170" s="514" t="n"/>
      <c r="N170" s="514" t="n"/>
      <c r="O170" s="514" t="n"/>
      <c r="P170" s="514" t="n"/>
      <c r="Q170" s="514" t="n"/>
      <c r="R170" s="514" t="n"/>
      <c r="S170" s="514" t="n"/>
      <c r="T170" s="514" t="n"/>
      <c r="U170" s="514" t="n"/>
      <c r="V170" s="514" t="n"/>
      <c r="W170" s="514" t="n"/>
      <c r="X170" s="514" t="n"/>
      <c r="Y170" s="514" t="n"/>
      <c r="Z170" s="440" t="n"/>
      <c r="AA170" s="162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514" t="n"/>
      <c r="I171" s="514" t="n"/>
      <c r="J171" s="514" t="n"/>
      <c r="K171" s="514" t="n"/>
      <c r="L171" s="514" t="n"/>
      <c r="M171" s="514" t="n"/>
      <c r="N171" s="514" t="n"/>
      <c r="O171" s="514" t="n"/>
      <c r="P171" s="514" t="n"/>
      <c r="Q171" s="514" t="n"/>
      <c r="R171" s="514" t="n"/>
      <c r="S171" s="514" t="n"/>
      <c r="T171" s="514" t="n"/>
      <c r="U171" s="514" t="n"/>
      <c r="V171" s="514" t="n"/>
      <c r="W171" s="514" t="n"/>
      <c r="X171" s="514" t="n"/>
      <c r="Y171" s="514" t="n"/>
      <c r="Z171" s="440" t="n"/>
      <c r="AA171" s="162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514" t="n"/>
      <c r="I172" s="514" t="n"/>
      <c r="J172" s="514" t="n"/>
      <c r="K172" s="514" t="n"/>
      <c r="L172" s="514" t="n"/>
      <c r="M172" s="514" t="n"/>
      <c r="N172" s="514" t="n"/>
      <c r="O172" s="514" t="n"/>
      <c r="P172" s="514" t="n"/>
      <c r="Q172" s="514" t="n"/>
      <c r="R172" s="514" t="n"/>
      <c r="S172" s="514" t="n"/>
      <c r="T172" s="514" t="n"/>
      <c r="U172" s="514" t="n"/>
      <c r="V172" s="514" t="n"/>
      <c r="W172" s="514" t="n"/>
      <c r="X172" s="514" t="n"/>
      <c r="Y172" s="514" t="n"/>
      <c r="Z172" s="440" t="n"/>
      <c r="AA172" s="162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514" t="n"/>
      <c r="I173" s="514" t="n"/>
      <c r="J173" s="514" t="n"/>
      <c r="K173" s="514" t="n"/>
      <c r="L173" s="514" t="n"/>
      <c r="M173" s="514" t="n"/>
      <c r="N173" s="514" t="n"/>
      <c r="O173" s="514" t="n"/>
      <c r="P173" s="514" t="n"/>
      <c r="Q173" s="514" t="n"/>
      <c r="R173" s="514" t="n"/>
      <c r="S173" s="514" t="n"/>
      <c r="T173" s="514" t="n"/>
      <c r="U173" s="514" t="n"/>
      <c r="V173" s="514" t="n"/>
      <c r="W173" s="514" t="n"/>
      <c r="X173" s="514" t="n"/>
      <c r="Y173" s="514" t="n"/>
      <c r="Z173" s="440" t="n"/>
      <c r="AA173" s="162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514" t="n"/>
      <c r="I174" s="514" t="n"/>
      <c r="J174" s="514" t="n"/>
      <c r="K174" s="514" t="n"/>
      <c r="L174" s="514" t="n"/>
      <c r="M174" s="514" t="n"/>
      <c r="N174" s="514" t="n"/>
      <c r="O174" s="514" t="n"/>
      <c r="P174" s="514" t="n"/>
      <c r="Q174" s="514" t="n"/>
      <c r="R174" s="514" t="n"/>
      <c r="S174" s="514" t="n"/>
      <c r="T174" s="514" t="n"/>
      <c r="U174" s="514" t="n"/>
      <c r="V174" s="514" t="n"/>
      <c r="W174" s="514" t="n"/>
      <c r="X174" s="514" t="n"/>
      <c r="Y174" s="514" t="n"/>
      <c r="Z174" s="440" t="n"/>
      <c r="AA174" s="162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514" t="n"/>
      <c r="I175" s="514" t="n"/>
      <c r="J175" s="514" t="n"/>
      <c r="K175" s="514" t="n"/>
      <c r="L175" s="514" t="n"/>
      <c r="M175" s="514" t="n"/>
      <c r="N175" s="514" t="n"/>
      <c r="O175" s="514" t="n"/>
      <c r="P175" s="514" t="n"/>
      <c r="Q175" s="514" t="n"/>
      <c r="R175" s="514" t="n"/>
      <c r="S175" s="514" t="n"/>
      <c r="T175" s="514" t="n"/>
      <c r="U175" s="514" t="n"/>
      <c r="V175" s="514" t="n"/>
      <c r="W175" s="514" t="n"/>
      <c r="X175" s="514" t="n"/>
      <c r="Y175" s="514" t="n"/>
      <c r="Z175" s="440" t="n"/>
      <c r="AA175" s="162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514" t="n"/>
      <c r="I176" s="514" t="n"/>
      <c r="J176" s="514" t="n"/>
      <c r="K176" s="514" t="n"/>
      <c r="L176" s="514" t="n"/>
      <c r="M176" s="514" t="n"/>
      <c r="N176" s="514" t="n"/>
      <c r="O176" s="514" t="n"/>
      <c r="P176" s="514" t="n"/>
      <c r="Q176" s="514" t="n"/>
      <c r="R176" s="514" t="n"/>
      <c r="S176" s="514" t="n"/>
      <c r="T176" s="514" t="n"/>
      <c r="U176" s="514" t="n"/>
      <c r="V176" s="514" t="n"/>
      <c r="W176" s="514" t="n"/>
      <c r="X176" s="514" t="n"/>
      <c r="Y176" s="514" t="n"/>
      <c r="Z176" s="440" t="n"/>
      <c r="AA176" s="162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514" t="n"/>
      <c r="I177" s="514" t="n"/>
      <c r="J177" s="514" t="n"/>
      <c r="K177" s="514" t="n"/>
      <c r="L177" s="514" t="n"/>
      <c r="M177" s="514" t="n"/>
      <c r="N177" s="514" t="n"/>
      <c r="O177" s="514" t="n"/>
      <c r="P177" s="514" t="n"/>
      <c r="Q177" s="514" t="n"/>
      <c r="R177" s="514" t="n"/>
      <c r="S177" s="514" t="n"/>
      <c r="T177" s="514" t="n"/>
      <c r="U177" s="514" t="n"/>
      <c r="V177" s="514" t="n"/>
      <c r="W177" s="514" t="n"/>
      <c r="X177" s="514" t="n"/>
      <c r="Y177" s="514" t="n"/>
      <c r="Z177" s="440" t="n"/>
      <c r="AA177" s="162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514" t="n"/>
      <c r="I178" s="514" t="n"/>
      <c r="J178" s="514" t="n"/>
      <c r="K178" s="514" t="n"/>
      <c r="L178" s="514" t="n"/>
      <c r="M178" s="514" t="n"/>
      <c r="N178" s="514" t="n"/>
      <c r="O178" s="514" t="n"/>
      <c r="P178" s="514" t="n"/>
      <c r="Q178" s="514" t="n"/>
      <c r="R178" s="514" t="n"/>
      <c r="S178" s="514" t="n"/>
      <c r="T178" s="514" t="n"/>
      <c r="U178" s="514" t="n"/>
      <c r="V178" s="514" t="n"/>
      <c r="W178" s="514" t="n"/>
      <c r="X178" s="514" t="n"/>
      <c r="Y178" s="514" t="n"/>
      <c r="Z178" s="440" t="n"/>
      <c r="AA178" s="162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514" t="n"/>
      <c r="I179" s="514" t="n"/>
      <c r="J179" s="514" t="n"/>
      <c r="K179" s="514" t="n"/>
      <c r="L179" s="514" t="n"/>
      <c r="M179" s="514" t="n"/>
      <c r="N179" s="514" t="n"/>
      <c r="O179" s="514" t="n"/>
      <c r="P179" s="514" t="n"/>
      <c r="Q179" s="514" t="n"/>
      <c r="R179" s="514" t="n"/>
      <c r="S179" s="514" t="n"/>
      <c r="T179" s="514" t="n"/>
      <c r="U179" s="514" t="n"/>
      <c r="V179" s="514" t="n"/>
      <c r="W179" s="514" t="n"/>
      <c r="X179" s="514" t="n"/>
      <c r="Y179" s="514" t="n"/>
      <c r="Z179" s="440" t="n"/>
      <c r="AA179" s="162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514" t="n"/>
      <c r="I180" s="514" t="n"/>
      <c r="J180" s="514" t="n"/>
      <c r="K180" s="514" t="n"/>
      <c r="L180" s="514" t="n"/>
      <c r="M180" s="514" t="n"/>
      <c r="N180" s="514" t="n"/>
      <c r="O180" s="514" t="n"/>
      <c r="P180" s="514" t="n"/>
      <c r="Q180" s="514" t="n"/>
      <c r="R180" s="514" t="n"/>
      <c r="S180" s="514" t="n"/>
      <c r="T180" s="514" t="n"/>
      <c r="U180" s="514" t="n"/>
      <c r="V180" s="514" t="n"/>
      <c r="W180" s="514" t="n"/>
      <c r="X180" s="514" t="n"/>
      <c r="Y180" s="514" t="n"/>
      <c r="Z180" s="440" t="n"/>
      <c r="AA180" s="162" t="n"/>
    </row>
    <row r="181">
      <c r="F181" s="419" t="n"/>
      <c r="G181" s="419" t="n"/>
      <c r="H181" s="514" t="n"/>
      <c r="I181" s="514" t="n"/>
      <c r="J181" s="514" t="n"/>
      <c r="K181" s="514" t="n"/>
      <c r="L181" s="514" t="n"/>
      <c r="M181" s="514" t="n"/>
      <c r="N181" s="514" t="n"/>
      <c r="O181" s="514" t="n"/>
      <c r="P181" s="514" t="n"/>
      <c r="Q181" s="514" t="n"/>
      <c r="R181" s="514" t="n"/>
      <c r="S181" s="514" t="n"/>
      <c r="T181" s="514" t="n"/>
      <c r="U181" s="514" t="n"/>
      <c r="V181" s="514" t="n"/>
      <c r="W181" s="514" t="n"/>
      <c r="X181" s="514" t="n"/>
      <c r="Y181" s="514" t="n"/>
      <c r="Z181" s="440" t="n"/>
      <c r="AA181" s="162" t="n"/>
    </row>
    <row r="182">
      <c r="F182" s="419" t="n"/>
      <c r="G182" s="419" t="n"/>
      <c r="H182" s="514" t="n"/>
      <c r="I182" s="514" t="n"/>
      <c r="J182" s="514" t="n"/>
      <c r="K182" s="514" t="n"/>
      <c r="L182" s="514" t="n"/>
      <c r="M182" s="514" t="n"/>
      <c r="N182" s="514" t="n"/>
      <c r="O182" s="514" t="n"/>
      <c r="P182" s="514" t="n"/>
      <c r="Q182" s="514" t="n"/>
      <c r="R182" s="514" t="n"/>
      <c r="S182" s="514" t="n"/>
      <c r="T182" s="514" t="n"/>
      <c r="U182" s="514" t="n"/>
      <c r="V182" s="514" t="n"/>
      <c r="W182" s="514" t="n"/>
      <c r="X182" s="514" t="n"/>
      <c r="Y182" s="514" t="n"/>
      <c r="Z182" s="440" t="n"/>
      <c r="AA182" s="162" t="n"/>
    </row>
    <row r="183">
      <c r="F183" s="419" t="n"/>
      <c r="G183" s="419" t="n"/>
      <c r="H183" s="514" t="n"/>
      <c r="I183" s="514" t="n"/>
      <c r="J183" s="514" t="n"/>
      <c r="K183" s="514" t="n"/>
      <c r="L183" s="514" t="n"/>
      <c r="M183" s="514" t="n"/>
      <c r="N183" s="514" t="n"/>
      <c r="O183" s="514" t="n"/>
      <c r="P183" s="514" t="n"/>
      <c r="Q183" s="514" t="n"/>
      <c r="R183" s="514" t="n"/>
      <c r="S183" s="514" t="n"/>
      <c r="T183" s="514" t="n"/>
      <c r="U183" s="514" t="n"/>
      <c r="V183" s="514" t="n"/>
      <c r="W183" s="514" t="n"/>
      <c r="X183" s="514" t="n"/>
      <c r="Y183" s="514" t="n"/>
      <c r="Z183" s="440" t="n"/>
      <c r="AA183" s="162" t="n"/>
    </row>
    <row r="184">
      <c r="F184" s="419" t="n"/>
      <c r="G184" s="419" t="n"/>
      <c r="H184" s="514" t="n"/>
      <c r="I184" s="514" t="n"/>
      <c r="J184" s="514" t="n"/>
      <c r="K184" s="514" t="n"/>
      <c r="L184" s="514" t="n"/>
      <c r="M184" s="514" t="n"/>
      <c r="N184" s="514" t="n"/>
      <c r="O184" s="514" t="n"/>
      <c r="P184" s="514" t="n"/>
      <c r="Q184" s="514" t="n"/>
      <c r="R184" s="514" t="n"/>
      <c r="S184" s="514" t="n"/>
      <c r="T184" s="514" t="n"/>
      <c r="U184" s="514" t="n"/>
      <c r="V184" s="514" t="n"/>
      <c r="W184" s="514" t="n"/>
      <c r="X184" s="514" t="n"/>
      <c r="Y184" s="514" t="n"/>
      <c r="Z184" s="440" t="n"/>
      <c r="AA184" s="162" t="n"/>
    </row>
    <row r="185">
      <c r="F185" s="419" t="n"/>
      <c r="G185" s="419" t="n"/>
      <c r="H185" s="514" t="n"/>
      <c r="I185" s="514" t="n"/>
      <c r="J185" s="514" t="n"/>
      <c r="K185" s="514" t="n"/>
      <c r="L185" s="514" t="n"/>
      <c r="M185" s="514" t="n"/>
      <c r="N185" s="514" t="n"/>
      <c r="O185" s="514" t="n"/>
      <c r="P185" s="514" t="n"/>
      <c r="Q185" s="514" t="n"/>
      <c r="R185" s="514" t="n"/>
      <c r="S185" s="514" t="n"/>
      <c r="T185" s="514" t="n"/>
      <c r="U185" s="514" t="n"/>
      <c r="V185" s="514" t="n"/>
      <c r="W185" s="514" t="n"/>
      <c r="X185" s="514" t="n"/>
      <c r="Y185" s="514" t="n"/>
      <c r="Z185" s="440" t="n"/>
      <c r="AA185" s="162" t="n"/>
    </row>
    <row r="186">
      <c r="F186" s="419" t="n"/>
      <c r="G186" s="419" t="n"/>
      <c r="H186" s="514" t="n"/>
      <c r="I186" s="514" t="n"/>
      <c r="J186" s="514" t="n"/>
      <c r="K186" s="514" t="n"/>
      <c r="L186" s="514" t="n"/>
      <c r="M186" s="514" t="n"/>
      <c r="N186" s="514" t="n"/>
      <c r="O186" s="514" t="n"/>
      <c r="P186" s="514" t="n"/>
      <c r="Q186" s="514" t="n"/>
      <c r="R186" s="514" t="n"/>
      <c r="S186" s="514" t="n"/>
      <c r="T186" s="514" t="n"/>
      <c r="U186" s="514" t="n"/>
      <c r="V186" s="514" t="n"/>
      <c r="W186" s="514" t="n"/>
      <c r="X186" s="514" t="n"/>
      <c r="Y186" s="514" t="n"/>
      <c r="Z186" s="440" t="n"/>
      <c r="AA186" s="162" t="n"/>
    </row>
    <row r="187">
      <c r="F187" s="419" t="n"/>
      <c r="G187" s="419" t="n"/>
      <c r="H187" s="514" t="n"/>
      <c r="I187" s="514" t="n"/>
      <c r="J187" s="514" t="n"/>
      <c r="K187" s="514" t="n"/>
      <c r="L187" s="514" t="n"/>
      <c r="M187" s="514" t="n"/>
      <c r="N187" s="514" t="n"/>
      <c r="O187" s="514" t="n"/>
      <c r="P187" s="514" t="n"/>
      <c r="Q187" s="514" t="n"/>
      <c r="R187" s="514" t="n"/>
      <c r="S187" s="514" t="n"/>
      <c r="T187" s="514" t="n"/>
      <c r="U187" s="514" t="n"/>
      <c r="V187" s="514" t="n"/>
      <c r="W187" s="514" t="n"/>
      <c r="X187" s="514" t="n"/>
      <c r="Y187" s="514" t="n"/>
      <c r="Z187" s="440" t="n"/>
      <c r="AA187" s="162" t="n"/>
    </row>
    <row r="188">
      <c r="F188" s="419" t="n"/>
      <c r="G188" s="419" t="n"/>
      <c r="H188" s="514" t="n"/>
      <c r="I188" s="514" t="n"/>
      <c r="J188" s="514" t="n"/>
      <c r="K188" s="514" t="n"/>
      <c r="L188" s="514" t="n"/>
      <c r="M188" s="514" t="n"/>
      <c r="N188" s="514" t="n"/>
      <c r="O188" s="514" t="n"/>
      <c r="P188" s="514" t="n"/>
      <c r="Q188" s="514" t="n"/>
      <c r="R188" s="514" t="n"/>
      <c r="S188" s="514" t="n"/>
      <c r="T188" s="514" t="n"/>
      <c r="U188" s="514" t="n"/>
      <c r="V188" s="514" t="n"/>
      <c r="W188" s="514" t="n"/>
      <c r="X188" s="514" t="n"/>
      <c r="Y188" s="514" t="n"/>
      <c r="Z188" s="440" t="n"/>
      <c r="AA188" s="162" t="n"/>
    </row>
    <row r="189">
      <c r="F189" s="419" t="n"/>
      <c r="G189" s="419" t="n"/>
      <c r="H189" s="514" t="n"/>
      <c r="I189" s="514" t="n"/>
      <c r="J189" s="514" t="n"/>
      <c r="K189" s="514" t="n"/>
      <c r="L189" s="514" t="n"/>
      <c r="M189" s="514" t="n"/>
      <c r="N189" s="514" t="n"/>
      <c r="O189" s="514" t="n"/>
      <c r="P189" s="514" t="n"/>
      <c r="Q189" s="514" t="n"/>
      <c r="R189" s="514" t="n"/>
      <c r="S189" s="514" t="n"/>
      <c r="T189" s="514" t="n"/>
      <c r="U189" s="514" t="n"/>
      <c r="V189" s="514" t="n"/>
      <c r="W189" s="514" t="n"/>
      <c r="X189" s="514" t="n"/>
      <c r="Y189" s="514" t="n"/>
      <c r="Z189" s="440" t="n"/>
      <c r="AA189" s="162" t="n"/>
    </row>
    <row r="190">
      <c r="F190" s="419" t="n"/>
      <c r="G190" s="419" t="n"/>
      <c r="H190" s="514" t="n"/>
      <c r="I190" s="514" t="n"/>
      <c r="J190" s="514" t="n"/>
      <c r="K190" s="514" t="n"/>
      <c r="L190" s="514" t="n"/>
      <c r="M190" s="514" t="n"/>
      <c r="N190" s="514" t="n"/>
      <c r="O190" s="514" t="n"/>
      <c r="P190" s="514" t="n"/>
      <c r="Q190" s="514" t="n"/>
      <c r="R190" s="514" t="n"/>
      <c r="S190" s="514" t="n"/>
      <c r="T190" s="514" t="n"/>
      <c r="U190" s="514" t="n"/>
      <c r="V190" s="514" t="n"/>
      <c r="W190" s="514" t="n"/>
      <c r="X190" s="514" t="n"/>
      <c r="Y190" s="514" t="n"/>
      <c r="Z190" s="440" t="n"/>
      <c r="AA190" s="162" t="n"/>
    </row>
    <row r="191">
      <c r="F191" s="419" t="n"/>
      <c r="G191" s="419" t="n"/>
      <c r="H191" s="514" t="n"/>
      <c r="I191" s="514" t="n"/>
      <c r="J191" s="514" t="n"/>
      <c r="K191" s="514" t="n"/>
      <c r="L191" s="514" t="n"/>
      <c r="M191" s="514" t="n"/>
      <c r="N191" s="514" t="n"/>
      <c r="O191" s="514" t="n"/>
      <c r="P191" s="514" t="n"/>
      <c r="Q191" s="514" t="n"/>
      <c r="R191" s="514" t="n"/>
      <c r="S191" s="514" t="n"/>
      <c r="T191" s="514" t="n"/>
      <c r="U191" s="514" t="n"/>
      <c r="V191" s="514" t="n"/>
      <c r="W191" s="514" t="n"/>
      <c r="X191" s="514" t="n"/>
      <c r="Y191" s="514" t="n"/>
      <c r="Z191" s="440" t="n"/>
      <c r="AA191" s="162" t="n"/>
    </row>
    <row r="192">
      <c r="F192" s="419" t="n"/>
      <c r="G192" s="419" t="n"/>
      <c r="H192" s="514" t="n"/>
      <c r="I192" s="514" t="n"/>
      <c r="J192" s="514" t="n"/>
      <c r="K192" s="514" t="n"/>
      <c r="L192" s="514" t="n"/>
      <c r="M192" s="514" t="n"/>
      <c r="N192" s="514" t="n"/>
      <c r="O192" s="514" t="n"/>
      <c r="P192" s="514" t="n"/>
      <c r="Q192" s="514" t="n"/>
      <c r="R192" s="514" t="n"/>
      <c r="S192" s="514" t="n"/>
      <c r="T192" s="514" t="n"/>
      <c r="U192" s="514" t="n"/>
      <c r="V192" s="514" t="n"/>
      <c r="W192" s="514" t="n"/>
      <c r="X192" s="514" t="n"/>
      <c r="Y192" s="514" t="n"/>
      <c r="Z192" s="440" t="n"/>
      <c r="AA192" s="162" t="n"/>
    </row>
    <row r="193">
      <c r="F193" s="419" t="n"/>
      <c r="G193" s="419" t="n"/>
      <c r="H193" s="514" t="n"/>
      <c r="I193" s="514" t="n"/>
      <c r="J193" s="514" t="n"/>
      <c r="K193" s="514" t="n"/>
      <c r="L193" s="514" t="n"/>
      <c r="M193" s="514" t="n"/>
      <c r="N193" s="514" t="n"/>
      <c r="O193" s="514" t="n"/>
      <c r="P193" s="514" t="n"/>
      <c r="Q193" s="514" t="n"/>
      <c r="R193" s="514" t="n"/>
      <c r="S193" s="514" t="n"/>
      <c r="T193" s="514" t="n"/>
      <c r="U193" s="514" t="n"/>
      <c r="V193" s="514" t="n"/>
      <c r="W193" s="514" t="n"/>
      <c r="X193" s="514" t="n"/>
      <c r="Y193" s="514" t="n"/>
      <c r="Z193" s="440" t="n"/>
      <c r="AA193" s="162" t="n"/>
    </row>
    <row r="194">
      <c r="F194" s="419" t="n"/>
      <c r="G194" s="419" t="n"/>
      <c r="H194" s="514" t="n"/>
      <c r="I194" s="514" t="n"/>
      <c r="J194" s="514" t="n"/>
      <c r="K194" s="514" t="n"/>
      <c r="L194" s="514" t="n"/>
      <c r="M194" s="514" t="n"/>
      <c r="N194" s="514" t="n"/>
      <c r="O194" s="514" t="n"/>
      <c r="P194" s="514" t="n"/>
      <c r="Q194" s="514" t="n"/>
      <c r="R194" s="514" t="n"/>
      <c r="S194" s="514" t="n"/>
      <c r="T194" s="514" t="n"/>
      <c r="U194" s="514" t="n"/>
      <c r="V194" s="514" t="n"/>
      <c r="W194" s="514" t="n"/>
      <c r="X194" s="514" t="n"/>
      <c r="Y194" s="514" t="n"/>
      <c r="Z194" s="440" t="n"/>
      <c r="AA194" s="162" t="n"/>
    </row>
    <row r="195">
      <c r="F195" s="419" t="n"/>
      <c r="G195" s="419" t="n"/>
      <c r="H195" s="514" t="n"/>
      <c r="I195" s="514" t="n"/>
      <c r="J195" s="514" t="n"/>
      <c r="K195" s="514" t="n"/>
      <c r="L195" s="514" t="n"/>
      <c r="M195" s="514" t="n"/>
      <c r="N195" s="514" t="n"/>
      <c r="O195" s="514" t="n"/>
      <c r="P195" s="514" t="n"/>
      <c r="Q195" s="514" t="n"/>
      <c r="R195" s="514" t="n"/>
      <c r="S195" s="514" t="n"/>
      <c r="T195" s="514" t="n"/>
      <c r="U195" s="514" t="n"/>
      <c r="V195" s="514" t="n"/>
      <c r="W195" s="514" t="n"/>
      <c r="X195" s="514" t="n"/>
      <c r="Y195" s="514" t="n"/>
      <c r="Z195" s="440" t="n"/>
      <c r="AA195" s="162" t="n"/>
    </row>
    <row r="196">
      <c r="F196" s="419" t="n"/>
      <c r="G196" s="419" t="n"/>
      <c r="H196" s="514" t="n"/>
      <c r="I196" s="514" t="n"/>
      <c r="J196" s="514" t="n"/>
      <c r="K196" s="514" t="n"/>
      <c r="L196" s="514" t="n"/>
      <c r="M196" s="514" t="n"/>
      <c r="N196" s="514" t="n"/>
      <c r="O196" s="514" t="n"/>
      <c r="P196" s="514" t="n"/>
      <c r="Q196" s="514" t="n"/>
      <c r="R196" s="514" t="n"/>
      <c r="S196" s="514" t="n"/>
      <c r="T196" s="514" t="n"/>
      <c r="U196" s="514" t="n"/>
      <c r="V196" s="514" t="n"/>
      <c r="W196" s="514" t="n"/>
      <c r="X196" s="514" t="n"/>
      <c r="Y196" s="514" t="n"/>
      <c r="Z196" s="440" t="n"/>
      <c r="AA196" s="162" t="n"/>
    </row>
    <row r="197">
      <c r="F197" s="419" t="n"/>
      <c r="G197" s="419" t="n"/>
      <c r="H197" s="514" t="n"/>
      <c r="I197" s="514" t="n"/>
      <c r="J197" s="514" t="n"/>
      <c r="K197" s="514" t="n"/>
      <c r="L197" s="514" t="n"/>
      <c r="M197" s="514" t="n"/>
      <c r="N197" s="514" t="n"/>
      <c r="O197" s="514" t="n"/>
      <c r="P197" s="514" t="n"/>
      <c r="Q197" s="514" t="n"/>
      <c r="R197" s="514" t="n"/>
      <c r="S197" s="514" t="n"/>
      <c r="T197" s="514" t="n"/>
      <c r="U197" s="514" t="n"/>
      <c r="V197" s="514" t="n"/>
      <c r="W197" s="514" t="n"/>
      <c r="X197" s="514" t="n"/>
      <c r="Y197" s="514" t="n"/>
      <c r="Z197" s="440" t="n"/>
      <c r="AA197" s="162" t="n"/>
    </row>
    <row r="198">
      <c r="F198" s="419" t="n"/>
      <c r="G198" s="419" t="n"/>
      <c r="H198" s="514" t="n"/>
      <c r="I198" s="514" t="n"/>
      <c r="J198" s="514" t="n"/>
      <c r="K198" s="514" t="n"/>
      <c r="L198" s="514" t="n"/>
      <c r="M198" s="514" t="n"/>
      <c r="N198" s="514" t="n"/>
      <c r="O198" s="514" t="n"/>
      <c r="P198" s="514" t="n"/>
      <c r="Q198" s="514" t="n"/>
      <c r="R198" s="514" t="n"/>
      <c r="S198" s="514" t="n"/>
      <c r="T198" s="514" t="n"/>
      <c r="U198" s="514" t="n"/>
      <c r="V198" s="514" t="n"/>
      <c r="W198" s="514" t="n"/>
      <c r="X198" s="514" t="n"/>
      <c r="Y198" s="514" t="n"/>
      <c r="Z198" s="440" t="n"/>
      <c r="AA198" s="162" t="n"/>
    </row>
    <row r="199">
      <c r="F199" s="419" t="n"/>
      <c r="G199" s="419" t="n"/>
      <c r="H199" s="514" t="n"/>
      <c r="I199" s="514" t="n"/>
      <c r="J199" s="514" t="n"/>
      <c r="K199" s="514" t="n"/>
      <c r="L199" s="514" t="n"/>
      <c r="M199" s="514" t="n"/>
      <c r="N199" s="514" t="n"/>
      <c r="O199" s="514" t="n"/>
      <c r="P199" s="514" t="n"/>
      <c r="Q199" s="514" t="n"/>
      <c r="R199" s="514" t="n"/>
      <c r="S199" s="514" t="n"/>
      <c r="T199" s="514" t="n"/>
      <c r="U199" s="514" t="n"/>
      <c r="V199" s="514" t="n"/>
      <c r="W199" s="514" t="n"/>
      <c r="X199" s="514" t="n"/>
      <c r="Y199" s="514" t="n"/>
      <c r="Z199" s="440" t="n"/>
      <c r="AA199" s="162" t="n"/>
    </row>
    <row r="200">
      <c r="F200" s="419" t="n"/>
      <c r="G200" s="419" t="n"/>
      <c r="H200" s="514" t="n"/>
      <c r="I200" s="514" t="n"/>
      <c r="J200" s="514" t="n"/>
      <c r="K200" s="514" t="n"/>
      <c r="L200" s="514" t="n"/>
      <c r="M200" s="514" t="n"/>
      <c r="N200" s="514" t="n"/>
      <c r="O200" s="514" t="n"/>
      <c r="P200" s="514" t="n"/>
      <c r="Q200" s="514" t="n"/>
      <c r="R200" s="514" t="n"/>
      <c r="S200" s="514" t="n"/>
      <c r="T200" s="514" t="n"/>
      <c r="U200" s="514" t="n"/>
      <c r="V200" s="514" t="n"/>
      <c r="W200" s="514" t="n"/>
      <c r="X200" s="514" t="n"/>
      <c r="Y200" s="514" t="n"/>
      <c r="Z200" s="440" t="n"/>
      <c r="AA200" s="162" t="n"/>
    </row>
  </sheetData>
  <mergeCells count="14">
    <mergeCell ref="A12:A33"/>
    <mergeCell ref="A34:D34"/>
    <mergeCell ref="X1:Y1"/>
    <mergeCell ref="V1:W1"/>
    <mergeCell ref="T1:U1"/>
    <mergeCell ref="H1:I1"/>
    <mergeCell ref="A2:E3"/>
    <mergeCell ref="L1:M1"/>
    <mergeCell ref="J1:K1"/>
    <mergeCell ref="P1:Q1"/>
    <mergeCell ref="R1:S1"/>
    <mergeCell ref="N1:O1"/>
    <mergeCell ref="A9:A11"/>
    <mergeCell ref="A4:E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9.25" customWidth="1" style="527" min="1" max="1"/>
    <col width="6" customWidth="1" style="527" min="2" max="2"/>
    <col width="11.25" customWidth="1" style="527" min="3" max="3"/>
    <col width="9.625" customWidth="1" style="527" min="4" max="4"/>
    <col width="13.625" customWidth="1" style="527" min="5" max="5"/>
    <col width="11.625" customWidth="1" style="527" min="6" max="6"/>
    <col width="11.375" customWidth="1" style="79" min="7" max="7"/>
    <col width="9.875" customWidth="1" style="526" min="8" max="8"/>
    <col width="9.5" customWidth="1" style="526" min="9" max="9"/>
    <col width="9.875" customWidth="1" style="526" min="10" max="10"/>
    <col width="9.5" customWidth="1" style="526" min="11" max="11"/>
    <col hidden="1" width="9.5" customWidth="1" style="526" min="12" max="1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83" t="inlineStr">
        <is>
          <t>网价[2026-04-30]</t>
        </is>
      </c>
      <c r="H1" s="84" t="n">
        <v>1</v>
      </c>
      <c r="I1" s="530" t="n"/>
      <c r="J1" s="84" t="n">
        <v>1</v>
      </c>
      <c r="K1" s="86" t="n"/>
      <c r="L1" s="87" t="n"/>
      <c r="M1" s="58" t="n"/>
      <c r="N1" s="88" t="n"/>
      <c r="O1" s="9" t="n"/>
    </row>
    <row r="2" ht="14.25" customHeight="1" s="527">
      <c r="A2" s="89" t="inlineStr">
        <is>
          <t>钢材询价表（六钢）</t>
        </is>
      </c>
      <c r="F2" s="90" t="inlineStr">
        <is>
          <t>高线10基价</t>
        </is>
      </c>
      <c r="G2" s="91" t="n"/>
      <c r="H2" s="92" t="n"/>
      <c r="I2" s="92" t="n"/>
      <c r="J2" s="92" t="n"/>
      <c r="K2" s="93" t="n"/>
      <c r="L2" s="94" t="n"/>
      <c r="M2" s="95" t="inlineStr">
        <is>
          <t>/</t>
        </is>
      </c>
      <c r="N2" s="96" t="n"/>
      <c r="O2" s="9" t="n"/>
    </row>
    <row r="3" ht="16.5" customHeight="1" s="527">
      <c r="F3" s="90" t="inlineStr">
        <is>
          <t>盘螺10基价</t>
        </is>
      </c>
      <c r="G3" s="280" t="n">
        <v>3600</v>
      </c>
      <c r="H3" s="98" t="n"/>
      <c r="I3" s="92" t="n"/>
      <c r="J3" s="98" t="n"/>
      <c r="K3" s="93" t="n"/>
      <c r="L3" s="99" t="n"/>
      <c r="M3" s="95" t="inlineStr">
        <is>
          <t>/</t>
        </is>
      </c>
      <c r="N3" s="194" t="n"/>
      <c r="O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>
        <v>3430</v>
      </c>
      <c r="H4" s="98" t="n"/>
      <c r="I4" s="92" t="n"/>
      <c r="J4" s="98" t="n"/>
      <c r="K4" s="93" t="n"/>
      <c r="L4" s="99" t="n"/>
      <c r="M4" s="95" t="inlineStr">
        <is>
          <t>/</t>
        </is>
      </c>
      <c r="N4" s="194" t="n"/>
      <c r="O4" s="9" t="n"/>
    </row>
    <row r="5" ht="14.25" customHeight="1" s="527">
      <c r="E5" s="533" t="n"/>
      <c r="F5" s="101" t="inlineStr">
        <is>
          <t>不开票运费</t>
        </is>
      </c>
      <c r="G5" s="102" t="n"/>
      <c r="H5" s="103" t="n"/>
      <c r="I5" s="92" t="n"/>
      <c r="J5" s="103" t="n"/>
      <c r="K5" s="93" t="n"/>
      <c r="L5" s="99" t="n"/>
      <c r="M5" s="95" t="inlineStr">
        <is>
          <t>/</t>
        </is>
      </c>
      <c r="N5" s="194" t="n"/>
      <c r="O5" s="9" t="n"/>
    </row>
    <row r="6" ht="14.25" customHeight="1" s="527">
      <c r="E6" s="533" t="n"/>
      <c r="F6" s="101" t="inlineStr">
        <is>
          <t>一票制运费</t>
        </is>
      </c>
      <c r="G6" s="104" t="n"/>
      <c r="H6" s="105" t="n"/>
      <c r="I6" s="92" t="inlineStr">
        <is>
          <t>/</t>
        </is>
      </c>
      <c r="J6" s="105" t="n"/>
      <c r="K6" s="93" t="inlineStr">
        <is>
          <t>/</t>
        </is>
      </c>
      <c r="L6" s="99" t="n">
        <v>0</v>
      </c>
      <c r="M6" s="95" t="inlineStr">
        <is>
          <t>/</t>
        </is>
      </c>
      <c r="N6" s="194" t="n">
        <v>0</v>
      </c>
      <c r="O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04" t="n"/>
      <c r="H7" s="105" t="n"/>
      <c r="I7" s="92" t="inlineStr">
        <is>
          <t>/</t>
        </is>
      </c>
      <c r="J7" s="105" t="n"/>
      <c r="K7" s="93" t="inlineStr">
        <is>
          <t>/</t>
        </is>
      </c>
      <c r="L7" s="99" t="n"/>
      <c r="M7" s="95" t="inlineStr">
        <is>
          <t>/</t>
        </is>
      </c>
      <c r="N7" s="194" t="n"/>
      <c r="O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闽曜</t>
        </is>
      </c>
      <c r="I8" s="92" t="inlineStr">
        <is>
          <t>网差</t>
        </is>
      </c>
      <c r="J8" s="92" t="inlineStr">
        <is>
          <t>闽曜</t>
        </is>
      </c>
      <c r="K8" s="93" t="inlineStr">
        <is>
          <t>网差</t>
        </is>
      </c>
      <c r="L8" s="107" t="inlineStr">
        <is>
          <t>正常级差</t>
        </is>
      </c>
      <c r="M8" s="95" t="inlineStr">
        <is>
          <t>网差</t>
        </is>
      </c>
      <c r="N8" s="108" t="inlineStr">
        <is>
          <t>正常级差</t>
        </is>
      </c>
      <c r="O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456">
        <f>G2+G6+100</f>
        <v/>
      </c>
      <c r="H9" s="36">
        <f>H2+H6+H7+100</f>
        <v/>
      </c>
      <c r="I9" s="21">
        <f>G9-H9</f>
        <v/>
      </c>
      <c r="J9" s="36">
        <f>J2+J6+J7+100</f>
        <v/>
      </c>
      <c r="K9" s="110">
        <f>G9-J9</f>
        <v/>
      </c>
      <c r="L9" s="111">
        <f>L2+L6+L7+100</f>
        <v/>
      </c>
      <c r="M9" s="112">
        <f>G9-L9</f>
        <v/>
      </c>
      <c r="N9" s="125">
        <f>N2+N6+N7+100</f>
        <v/>
      </c>
      <c r="O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456">
        <f>G2+G6</f>
        <v/>
      </c>
      <c r="H10" s="36">
        <f>H2+H6+H7</f>
        <v/>
      </c>
      <c r="I10" s="21">
        <f>G10-H10</f>
        <v/>
      </c>
      <c r="J10" s="36">
        <f>J2+J6+J7</f>
        <v/>
      </c>
      <c r="K10" s="110">
        <f>G10-J10</f>
        <v/>
      </c>
      <c r="L10" s="111">
        <f>L2+L6+L7</f>
        <v/>
      </c>
      <c r="M10" s="112">
        <f>G10-L10</f>
        <v/>
      </c>
      <c r="N10" s="125">
        <f>N2+N6+N7</f>
        <v/>
      </c>
      <c r="O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456">
        <f>G2+G6</f>
        <v/>
      </c>
      <c r="H11" s="36">
        <f>H2+H6+H7</f>
        <v/>
      </c>
      <c r="I11" s="21">
        <f>G11-H11</f>
        <v/>
      </c>
      <c r="J11" s="36">
        <f>J2+J6+J7</f>
        <v/>
      </c>
      <c r="K11" s="110">
        <f>G11-J11</f>
        <v/>
      </c>
      <c r="L11" s="111">
        <f>L2+L6+L7</f>
        <v/>
      </c>
      <c r="M11" s="112">
        <f>G11-L11</f>
        <v/>
      </c>
      <c r="N11" s="125">
        <f>N2+N6+N7</f>
        <v/>
      </c>
      <c r="O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456">
        <f>G3+360+G6</f>
        <v/>
      </c>
      <c r="H12" s="36">
        <f>H3+H6+H7+360</f>
        <v/>
      </c>
      <c r="I12" s="21">
        <f>G12-H12</f>
        <v/>
      </c>
      <c r="J12" s="36">
        <f>J3+J6+J7+360</f>
        <v/>
      </c>
      <c r="K12" s="110">
        <f>G12-J12</f>
        <v/>
      </c>
      <c r="L12" s="111" t="n">
        <v>360</v>
      </c>
      <c r="M12" s="112">
        <f>G12-L12</f>
        <v/>
      </c>
      <c r="N12" s="125" t="n">
        <v>360</v>
      </c>
      <c r="O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456">
        <f>G3+G6+G7</f>
        <v/>
      </c>
      <c r="H13" s="36">
        <f>H3+H6+H7</f>
        <v/>
      </c>
      <c r="I13" s="21">
        <f>G13-H13</f>
        <v/>
      </c>
      <c r="J13" s="36">
        <f>J3+J6+J7</f>
        <v/>
      </c>
      <c r="K13" s="110">
        <f>G13-J13</f>
        <v/>
      </c>
      <c r="L13" s="111">
        <f>L3+L6+L7</f>
        <v/>
      </c>
      <c r="M13" s="112">
        <f>G13-L13</f>
        <v/>
      </c>
      <c r="N13" s="125">
        <f>N3+N6+N7</f>
        <v/>
      </c>
      <c r="O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495">
        <f>G3+G6+G7</f>
        <v/>
      </c>
      <c r="H14" s="118">
        <f>H3+H6+H7</f>
        <v/>
      </c>
      <c r="I14" s="119">
        <f>G14-H14</f>
        <v/>
      </c>
      <c r="J14" s="118">
        <f>J3+J6+J7</f>
        <v/>
      </c>
      <c r="K14" s="120">
        <f>G14-J14</f>
        <v/>
      </c>
      <c r="L14" s="121">
        <f>L3+L6+L7</f>
        <v/>
      </c>
      <c r="M14" s="122">
        <f>G14-L14</f>
        <v/>
      </c>
      <c r="N14" s="220">
        <f>N3+N6+N7</f>
        <v/>
      </c>
      <c r="O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456">
        <f>G3+G6+30</f>
        <v/>
      </c>
      <c r="H15" s="36">
        <f>H3+H6+30</f>
        <v/>
      </c>
      <c r="I15" s="21" t="n"/>
      <c r="J15" s="36">
        <f>J3+J6+30</f>
        <v/>
      </c>
      <c r="K15" s="110" t="n"/>
      <c r="L15" s="111" t="n"/>
      <c r="M15" s="112" t="n"/>
      <c r="N15" s="125" t="n">
        <v>30</v>
      </c>
      <c r="O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456">
        <f>G4+G6+G7+150</f>
        <v/>
      </c>
      <c r="H16" s="36">
        <f>H4+90+H6+H7+60</f>
        <v/>
      </c>
      <c r="I16" s="21">
        <f>G16-H16</f>
        <v/>
      </c>
      <c r="J16" s="36">
        <f>J4+90+J6+J7+60</f>
        <v/>
      </c>
      <c r="K16" s="110">
        <f>G16-J16</f>
        <v/>
      </c>
      <c r="L16" s="111" t="n">
        <v>120</v>
      </c>
      <c r="M16" s="112">
        <f>G16-L16</f>
        <v/>
      </c>
      <c r="N16" s="125" t="n">
        <v>150</v>
      </c>
      <c r="O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56">
        <f>G4+G6+G7+150</f>
        <v/>
      </c>
      <c r="H17" s="36">
        <f>H4+H6++H7+90+60</f>
        <v/>
      </c>
      <c r="I17" s="21">
        <f>G17-H17</f>
        <v/>
      </c>
      <c r="J17" s="36">
        <f>J4+J6++J7+90+60</f>
        <v/>
      </c>
      <c r="K17" s="110">
        <f>G17-J17</f>
        <v/>
      </c>
      <c r="L17" s="111" t="n">
        <v>120</v>
      </c>
      <c r="M17" s="112">
        <f>G17-L17</f>
        <v/>
      </c>
      <c r="N17" s="125" t="n">
        <v>150</v>
      </c>
      <c r="O17" s="194" t="n">
        <v>2.504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56">
        <f>G4+G6+G7+60</f>
        <v/>
      </c>
      <c r="H18" s="36">
        <f>H4+H6+H7+30+30</f>
        <v/>
      </c>
      <c r="I18" s="21">
        <f>G18-H18</f>
        <v/>
      </c>
      <c r="J18" s="36">
        <f>J4+J6+J7+30+30</f>
        <v/>
      </c>
      <c r="K18" s="110">
        <f>G18-J18</f>
        <v/>
      </c>
      <c r="L18" s="111">
        <f>L4+L6+L7+50</f>
        <v/>
      </c>
      <c r="M18" s="112">
        <f>G18-L18</f>
        <v/>
      </c>
      <c r="N18" s="125" t="n">
        <v>60</v>
      </c>
      <c r="O18" s="194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56">
        <f>G4+G6+G7+60</f>
        <v/>
      </c>
      <c r="H19" s="36">
        <f>H4+H6+H7+30+30</f>
        <v/>
      </c>
      <c r="I19" s="21">
        <f>G19-H19</f>
        <v/>
      </c>
      <c r="J19" s="36">
        <f>J4+J6+J7+30+30</f>
        <v/>
      </c>
      <c r="K19" s="110">
        <f>G19-J19</f>
        <v/>
      </c>
      <c r="L19" s="111">
        <f>L4+L6+L7+50</f>
        <v/>
      </c>
      <c r="M19" s="112">
        <f>G19-L19</f>
        <v/>
      </c>
      <c r="N19" s="125" t="n">
        <v>60</v>
      </c>
      <c r="O19" s="194" t="n">
        <v>2.468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26">
        <f>G4+G6+G7+50</f>
        <v/>
      </c>
      <c r="H20" s="36">
        <f>H4+H6+H7+30+20</f>
        <v/>
      </c>
      <c r="I20" s="21">
        <f>G20-H20</f>
        <v/>
      </c>
      <c r="J20" s="36">
        <f>J4+J6+J7+30+20</f>
        <v/>
      </c>
      <c r="K20" s="110">
        <f>G20-J20</f>
        <v/>
      </c>
      <c r="L20" s="111">
        <f>L4+L6+50+L7</f>
        <v/>
      </c>
      <c r="M20" s="112">
        <f>G20-L20</f>
        <v/>
      </c>
      <c r="N20" s="125" t="n">
        <v>50</v>
      </c>
      <c r="O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26">
        <f>G4+G6+G7+50</f>
        <v/>
      </c>
      <c r="H21" s="36">
        <f>H4+H6+H7+30+20</f>
        <v/>
      </c>
      <c r="I21" s="21">
        <f>G21-H21</f>
        <v/>
      </c>
      <c r="J21" s="36">
        <f>J4+J6+J7+30+20</f>
        <v/>
      </c>
      <c r="K21" s="110">
        <f>G21-J21</f>
        <v/>
      </c>
      <c r="L21" s="111">
        <f>L4+L6+50+L7</f>
        <v/>
      </c>
      <c r="M21" s="112">
        <f>G21-L21</f>
        <v/>
      </c>
      <c r="N21" s="125" t="n">
        <v>50</v>
      </c>
      <c r="O21" s="194" t="n">
        <v>2.465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27">
        <f>G4+G6+G7</f>
        <v/>
      </c>
      <c r="H22" s="118">
        <f>H4+H6</f>
        <v/>
      </c>
      <c r="I22" s="119">
        <f>G22-H22</f>
        <v/>
      </c>
      <c r="J22" s="118">
        <f>J4+J6</f>
        <v/>
      </c>
      <c r="K22" s="120">
        <f>G22-J22</f>
        <v/>
      </c>
      <c r="L22" s="121" t="n">
        <v>30</v>
      </c>
      <c r="M22" s="122">
        <f>G22-L22</f>
        <v/>
      </c>
      <c r="N22" s="220">
        <f>N3+N5</f>
        <v/>
      </c>
      <c r="O22" s="124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27">
        <f>G4+G6+G7</f>
        <v/>
      </c>
      <c r="H23" s="118">
        <f>H4+H6</f>
        <v/>
      </c>
      <c r="I23" s="119">
        <f>G23-H23</f>
        <v/>
      </c>
      <c r="J23" s="118">
        <f>J4+J6</f>
        <v/>
      </c>
      <c r="K23" s="120">
        <f>G23-J23</f>
        <v/>
      </c>
      <c r="L23" s="121" t="n">
        <v>30</v>
      </c>
      <c r="M23" s="122">
        <f>G23-L23</f>
        <v/>
      </c>
      <c r="N23" s="220">
        <f>N3+N5</f>
        <v/>
      </c>
      <c r="O23" s="124" t="n">
        <v>2.52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26">
        <f>G4+G6+G7+50</f>
        <v/>
      </c>
      <c r="H24" s="36">
        <f>H4+H6+50+H7</f>
        <v/>
      </c>
      <c r="I24" s="21">
        <f>G24-H24</f>
        <v/>
      </c>
      <c r="J24" s="36">
        <f>J4+J6+50+J7</f>
        <v/>
      </c>
      <c r="K24" s="110">
        <f>G24-J24</f>
        <v/>
      </c>
      <c r="L24" s="111">
        <f>L4+L6+50+L7</f>
        <v/>
      </c>
      <c r="M24" s="112">
        <f>G24-L24</f>
        <v/>
      </c>
      <c r="N24" s="125" t="n">
        <v>50</v>
      </c>
      <c r="O24" s="194" t="n">
        <v>21.001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26">
        <f>G4+G6+G7+50</f>
        <v/>
      </c>
      <c r="H25" s="36">
        <f>H4+H6+50+H7</f>
        <v/>
      </c>
      <c r="I25" s="21">
        <f>G25-H25</f>
        <v/>
      </c>
      <c r="J25" s="36">
        <f>J4+J6+50+J7</f>
        <v/>
      </c>
      <c r="K25" s="110">
        <f>G25-J25</f>
        <v/>
      </c>
      <c r="L25" s="111">
        <f>L4+L6+50+L7</f>
        <v/>
      </c>
      <c r="M25" s="112">
        <f>G25-L25</f>
        <v/>
      </c>
      <c r="N25" s="125" t="n">
        <v>50</v>
      </c>
      <c r="O25" s="194" t="n">
        <v>2.519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26">
        <f>G4+G6+G7+50</f>
        <v/>
      </c>
      <c r="H26" s="36">
        <f>H4+H6+50+H7</f>
        <v/>
      </c>
      <c r="I26" s="21">
        <f>G26-H26</f>
        <v/>
      </c>
      <c r="J26" s="36">
        <f>J4+J6+50+J7</f>
        <v/>
      </c>
      <c r="K26" s="110">
        <f>G26-J26</f>
        <v/>
      </c>
      <c r="L26" s="111">
        <f>L4+L6+50+L7</f>
        <v/>
      </c>
      <c r="M26" s="112">
        <f>G26-L26</f>
        <v/>
      </c>
      <c r="N26" s="125" t="n">
        <v>50</v>
      </c>
      <c r="O26" s="194" t="n">
        <v>1.931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26">
        <f>G4+G6+G7+50</f>
        <v/>
      </c>
      <c r="H27" s="36">
        <f>H4+H6+50+H7</f>
        <v/>
      </c>
      <c r="I27" s="21">
        <f>G27-H27</f>
        <v/>
      </c>
      <c r="J27" s="36">
        <f>J4+J6+50+J7</f>
        <v/>
      </c>
      <c r="K27" s="110">
        <f>G27-J27</f>
        <v/>
      </c>
      <c r="L27" s="111">
        <f>L4+L6+50+L7</f>
        <v/>
      </c>
      <c r="M27" s="112">
        <f>G27-L27</f>
        <v/>
      </c>
      <c r="N27" s="125" t="n">
        <v>50</v>
      </c>
      <c r="O27" s="194" t="n">
        <v>2.503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56">
        <f>G4+G6+G7+80</f>
        <v/>
      </c>
      <c r="H28" s="36">
        <f>H4+H6+80+H7</f>
        <v/>
      </c>
      <c r="I28" s="21">
        <f>G28-H28</f>
        <v/>
      </c>
      <c r="J28" s="36">
        <f>J4+J6+80+J7</f>
        <v/>
      </c>
      <c r="K28" s="110">
        <f>G28-J28</f>
        <v/>
      </c>
      <c r="L28" s="111">
        <f>L4+L6+80+L7</f>
        <v/>
      </c>
      <c r="M28" s="112">
        <f>G28-L28</f>
        <v/>
      </c>
      <c r="N28" s="125" t="n">
        <v>80</v>
      </c>
      <c r="O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56">
        <f>G4+G6+G7+80</f>
        <v/>
      </c>
      <c r="H29" s="36">
        <f>H4+H6+80+H7</f>
        <v/>
      </c>
      <c r="I29" s="21">
        <f>G29-H29</f>
        <v/>
      </c>
      <c r="J29" s="36">
        <f>J4+J6+80+J7</f>
        <v/>
      </c>
      <c r="K29" s="110">
        <f>G29-J29</f>
        <v/>
      </c>
      <c r="L29" s="111">
        <f>L4+L6+80+L7</f>
        <v/>
      </c>
      <c r="M29" s="112">
        <f>G29-L29</f>
        <v/>
      </c>
      <c r="N29" s="125" t="n">
        <v>80</v>
      </c>
      <c r="O29" s="194" t="n">
        <v>2.541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56">
        <f>G4+G6+G7+120</f>
        <v/>
      </c>
      <c r="H30" s="36">
        <f>H4+H6+120+H7</f>
        <v/>
      </c>
      <c r="I30" s="21">
        <f>G30-H30</f>
        <v/>
      </c>
      <c r="J30" s="36">
        <f>J4+J6+120+J7</f>
        <v/>
      </c>
      <c r="K30" s="110">
        <f>G30-J30</f>
        <v/>
      </c>
      <c r="L30" s="111" t="n">
        <v>120</v>
      </c>
      <c r="M30" s="112">
        <f>G30-L30</f>
        <v/>
      </c>
      <c r="N30" s="125" t="n">
        <v>120</v>
      </c>
      <c r="O30" s="194" t="n">
        <v>1.956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56">
        <f>G4+G6+G7+120</f>
        <v/>
      </c>
      <c r="H31" s="36">
        <f>H4+H6+120+H7</f>
        <v/>
      </c>
      <c r="I31" s="21">
        <f>G31-H31</f>
        <v/>
      </c>
      <c r="J31" s="36">
        <f>J4+J6+120+J7</f>
        <v/>
      </c>
      <c r="K31" s="110">
        <f>G31-J31</f>
        <v/>
      </c>
      <c r="L31" s="111" t="n">
        <v>120</v>
      </c>
      <c r="M31" s="112">
        <f>G31-L31</f>
        <v/>
      </c>
      <c r="N31" s="125" t="n">
        <v>120</v>
      </c>
      <c r="O31" s="194" t="n">
        <v>2.492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56">
        <f>G4+G6+G7+120</f>
        <v/>
      </c>
      <c r="H32" s="36">
        <f>H4+H6+120+H7</f>
        <v/>
      </c>
      <c r="I32" s="21">
        <f>G32-H32</f>
        <v/>
      </c>
      <c r="J32" s="36">
        <f>J4+J6+120+J7</f>
        <v/>
      </c>
      <c r="K32" s="110">
        <f>G32-J32</f>
        <v/>
      </c>
      <c r="L32" s="111" t="n">
        <v>120</v>
      </c>
      <c r="M32" s="112">
        <f>G32-L32</f>
        <v/>
      </c>
      <c r="N32" s="125" t="n">
        <v>120</v>
      </c>
      <c r="O32" s="194" t="n">
        <v>2.272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56">
        <f>G4+G6+G7+120</f>
        <v/>
      </c>
      <c r="H33" s="36">
        <f>H4+H6+120+H7</f>
        <v/>
      </c>
      <c r="I33" s="21">
        <f>G33-H33</f>
        <v/>
      </c>
      <c r="J33" s="36">
        <f>J4+J6+120+J7</f>
        <v/>
      </c>
      <c r="K33" s="110">
        <f>G33-J33</f>
        <v/>
      </c>
      <c r="L33" s="111" t="n">
        <v>120</v>
      </c>
      <c r="M33" s="112">
        <f>G33-L33</f>
        <v/>
      </c>
      <c r="N33" s="125" t="n">
        <v>120</v>
      </c>
      <c r="O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29" t="n"/>
      <c r="H34" s="129" t="n"/>
      <c r="I34" s="129" t="n"/>
      <c r="J34" s="129" t="n"/>
      <c r="K34" s="130" t="n"/>
      <c r="L34" s="131" t="n"/>
      <c r="M34" s="132" t="n"/>
      <c r="N34" s="125" t="n"/>
      <c r="O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4" t="n"/>
      <c r="H35" s="134" t="n"/>
      <c r="I35" s="134" t="n"/>
      <c r="J35" s="134" t="n"/>
      <c r="K35" s="135" t="n"/>
      <c r="L35" s="136" t="n"/>
      <c r="M35" s="137" t="n"/>
      <c r="N35" s="138" t="n"/>
      <c r="O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419" t="n"/>
      <c r="I36" s="419" t="n"/>
      <c r="J36" s="419" t="n"/>
      <c r="K36" s="440" t="n"/>
      <c r="L36" s="440" t="n"/>
      <c r="M36" s="440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419" t="n"/>
      <c r="I37" s="419" t="n"/>
      <c r="J37" s="419" t="n"/>
      <c r="K37" s="419" t="n"/>
      <c r="L37" s="139" t="n"/>
      <c r="M37" s="520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419" t="n"/>
      <c r="I38" s="419" t="n"/>
      <c r="J38" s="419" t="n"/>
      <c r="K38" s="419" t="n"/>
      <c r="L38" s="139" t="n"/>
      <c r="M38" s="520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419" t="n"/>
      <c r="I39" s="419" t="n"/>
      <c r="J39" s="419" t="n"/>
      <c r="K39" s="419" t="n"/>
      <c r="L39" s="139" t="n"/>
      <c r="M39" s="520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419" t="n"/>
      <c r="I40" s="419" t="n"/>
      <c r="J40" s="419" t="n"/>
      <c r="K40" s="419" t="n"/>
      <c r="L40" s="139" t="n"/>
      <c r="M40" s="520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419" t="n"/>
      <c r="I41" s="419" t="n"/>
      <c r="J41" s="419" t="n"/>
      <c r="K41" s="419" t="n"/>
      <c r="L41" s="139" t="n"/>
      <c r="M41" s="520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419" t="n"/>
      <c r="I42" s="419" t="n"/>
      <c r="J42" s="419" t="n"/>
      <c r="K42" s="419" t="n"/>
      <c r="L42" s="139" t="n"/>
      <c r="M42" s="520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419" t="n"/>
      <c r="I43" s="419" t="n"/>
      <c r="J43" s="419" t="n"/>
      <c r="K43" s="419" t="n"/>
      <c r="L43" s="139" t="n"/>
      <c r="M43" s="520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419" t="n"/>
      <c r="I44" s="419" t="n"/>
      <c r="J44" s="419" t="n"/>
      <c r="K44" s="419" t="n"/>
      <c r="L44" s="139" t="n"/>
      <c r="M44" s="520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419" t="n"/>
      <c r="I45" s="419" t="n"/>
      <c r="J45" s="419" t="n"/>
      <c r="K45" s="419" t="n"/>
      <c r="L45" s="139" t="n"/>
      <c r="M45" s="520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419" t="n"/>
      <c r="I46" s="419" t="n"/>
      <c r="J46" s="419" t="n"/>
      <c r="K46" s="419" t="n"/>
      <c r="L46" s="139" t="n"/>
      <c r="M46" s="520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419" t="n"/>
      <c r="I47" s="419" t="n"/>
      <c r="J47" s="419" t="n"/>
      <c r="K47" s="419" t="n"/>
      <c r="L47" s="139" t="n"/>
      <c r="M47" s="520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419" t="n"/>
      <c r="I48" s="419" t="n"/>
      <c r="J48" s="419" t="n"/>
      <c r="K48" s="419" t="n"/>
      <c r="L48" s="139" t="n"/>
      <c r="M48" s="520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419" t="n"/>
      <c r="I49" s="419" t="n"/>
      <c r="J49" s="419" t="n"/>
      <c r="K49" s="419" t="n"/>
      <c r="L49" s="139" t="n"/>
      <c r="M49" s="520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419" t="n"/>
      <c r="I50" s="419" t="n"/>
      <c r="J50" s="419" t="n"/>
      <c r="K50" s="419" t="n"/>
      <c r="L50" s="139" t="n"/>
      <c r="M50" s="520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419" t="n"/>
      <c r="I51" s="419" t="n"/>
      <c r="J51" s="419" t="n"/>
      <c r="K51" s="419" t="n"/>
      <c r="L51" s="139" t="n"/>
      <c r="M51" s="520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419" t="n"/>
      <c r="I52" s="419" t="n"/>
      <c r="J52" s="419" t="n"/>
      <c r="K52" s="419" t="n"/>
      <c r="L52" s="139" t="n"/>
      <c r="M52" s="520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419" t="n"/>
      <c r="I53" s="419" t="n"/>
      <c r="J53" s="419" t="n"/>
      <c r="K53" s="419" t="n"/>
      <c r="L53" s="139" t="n"/>
      <c r="M53" s="520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419" t="n"/>
      <c r="I54" s="419" t="n"/>
      <c r="J54" s="419" t="n"/>
      <c r="K54" s="419" t="n"/>
      <c r="L54" s="139" t="n"/>
      <c r="M54" s="520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419" t="n"/>
      <c r="I55" s="419" t="n"/>
      <c r="J55" s="419" t="n"/>
      <c r="K55" s="419" t="n"/>
      <c r="L55" s="139" t="n"/>
      <c r="M55" s="520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419" t="n"/>
      <c r="I56" s="419" t="n"/>
      <c r="J56" s="419" t="n"/>
      <c r="K56" s="419" t="n"/>
      <c r="L56" s="139" t="n"/>
      <c r="M56" s="520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419" t="n"/>
      <c r="I57" s="419" t="n"/>
      <c r="J57" s="419" t="n"/>
      <c r="K57" s="419" t="n"/>
      <c r="L57" s="139" t="n"/>
      <c r="M57" s="520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419" t="n"/>
      <c r="I58" s="419" t="n"/>
      <c r="J58" s="419" t="n"/>
      <c r="K58" s="419" t="n"/>
      <c r="L58" s="139" t="n"/>
      <c r="M58" s="520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419" t="n"/>
      <c r="I59" s="419" t="n"/>
      <c r="J59" s="419" t="n"/>
      <c r="K59" s="419" t="n"/>
      <c r="L59" s="139" t="n"/>
      <c r="M59" s="520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419" t="n"/>
      <c r="I60" s="419" t="n"/>
      <c r="J60" s="419" t="n"/>
      <c r="K60" s="419" t="n"/>
      <c r="L60" s="139" t="n"/>
      <c r="M60" s="520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419" t="n"/>
      <c r="I61" s="419" t="n"/>
      <c r="J61" s="419" t="n"/>
      <c r="K61" s="419" t="n"/>
      <c r="L61" s="139" t="n"/>
      <c r="M61" s="520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419" t="n"/>
      <c r="I62" s="419" t="n"/>
      <c r="J62" s="419" t="n"/>
      <c r="K62" s="419" t="n"/>
      <c r="L62" s="139" t="n"/>
      <c r="M62" s="520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419" t="n"/>
      <c r="I63" s="419" t="n"/>
      <c r="J63" s="419" t="n"/>
      <c r="K63" s="419" t="n"/>
      <c r="L63" s="139" t="n"/>
      <c r="M63" s="520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419" t="n"/>
      <c r="I64" s="419" t="n"/>
      <c r="J64" s="419" t="n"/>
      <c r="K64" s="419" t="n"/>
      <c r="L64" s="139" t="n"/>
      <c r="M64" s="520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419" t="n"/>
      <c r="I65" s="419" t="n"/>
      <c r="J65" s="419" t="n"/>
      <c r="K65" s="419" t="n"/>
      <c r="L65" s="139" t="n"/>
      <c r="M65" s="520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419" t="n"/>
      <c r="I66" s="419" t="n"/>
      <c r="J66" s="419" t="n"/>
      <c r="K66" s="419" t="n"/>
      <c r="L66" s="139" t="n"/>
      <c r="M66" s="520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419" t="n"/>
      <c r="I67" s="419" t="n"/>
      <c r="J67" s="419" t="n"/>
      <c r="K67" s="419" t="n"/>
      <c r="L67" s="139" t="n"/>
      <c r="M67" s="520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419" t="n"/>
      <c r="I68" s="419" t="n"/>
      <c r="J68" s="419" t="n"/>
      <c r="K68" s="419" t="n"/>
      <c r="L68" s="139" t="n"/>
      <c r="M68" s="520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419" t="n"/>
      <c r="I69" s="419" t="n"/>
      <c r="J69" s="419" t="n"/>
      <c r="K69" s="419" t="n"/>
      <c r="L69" s="139" t="n"/>
      <c r="M69" s="520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419" t="n"/>
      <c r="I70" s="419" t="n"/>
      <c r="J70" s="419" t="n"/>
      <c r="K70" s="419" t="n"/>
      <c r="L70" s="139" t="n"/>
      <c r="M70" s="520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419" t="n"/>
      <c r="I71" s="419" t="n"/>
      <c r="J71" s="419" t="n"/>
      <c r="K71" s="419" t="n"/>
      <c r="L71" s="139" t="n"/>
      <c r="M71" s="520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419" t="n"/>
      <c r="I72" s="419" t="n"/>
      <c r="J72" s="419" t="n"/>
      <c r="K72" s="419" t="n"/>
      <c r="L72" s="139" t="n"/>
      <c r="M72" s="520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419" t="n"/>
      <c r="I73" s="419" t="n"/>
      <c r="J73" s="419" t="n"/>
      <c r="K73" s="419" t="n"/>
      <c r="L73" s="139" t="n"/>
      <c r="M73" s="520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419" t="n"/>
      <c r="I74" s="419" t="n"/>
      <c r="J74" s="419" t="n"/>
      <c r="K74" s="419" t="n"/>
      <c r="L74" s="139" t="n"/>
      <c r="M74" s="520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419" t="n"/>
      <c r="I75" s="419" t="n"/>
      <c r="J75" s="419" t="n"/>
      <c r="K75" s="419" t="n"/>
      <c r="L75" s="139" t="n"/>
      <c r="M75" s="520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419" t="n"/>
      <c r="I76" s="419" t="n"/>
      <c r="J76" s="419" t="n"/>
      <c r="K76" s="419" t="n"/>
      <c r="L76" s="139" t="n"/>
      <c r="M76" s="520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419" t="n"/>
      <c r="I77" s="419" t="n"/>
      <c r="J77" s="419" t="n"/>
      <c r="K77" s="419" t="n"/>
      <c r="L77" s="139" t="n"/>
      <c r="M77" s="520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419" t="n"/>
      <c r="I78" s="419" t="n"/>
      <c r="J78" s="419" t="n"/>
      <c r="K78" s="419" t="n"/>
      <c r="L78" s="139" t="n"/>
      <c r="M78" s="520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419" t="n"/>
      <c r="I79" s="419" t="n"/>
      <c r="J79" s="419" t="n"/>
      <c r="K79" s="419" t="n"/>
      <c r="L79" s="139" t="n"/>
      <c r="M79" s="520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419" t="n"/>
      <c r="I80" s="419" t="n"/>
      <c r="J80" s="419" t="n"/>
      <c r="K80" s="419" t="n"/>
      <c r="L80" s="139" t="n"/>
      <c r="M80" s="520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419" t="n"/>
      <c r="I81" s="419" t="n"/>
      <c r="J81" s="419" t="n"/>
      <c r="K81" s="419" t="n"/>
      <c r="L81" s="139" t="n"/>
      <c r="M81" s="520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419" t="n"/>
      <c r="I82" s="419" t="n"/>
      <c r="J82" s="419" t="n"/>
      <c r="K82" s="419" t="n"/>
      <c r="L82" s="139" t="n"/>
      <c r="M82" s="520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419" t="n"/>
      <c r="I83" s="419" t="n"/>
      <c r="J83" s="419" t="n"/>
      <c r="K83" s="419" t="n"/>
      <c r="L83" s="139" t="n"/>
      <c r="M83" s="520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419" t="n"/>
      <c r="I84" s="419" t="n"/>
      <c r="J84" s="419" t="n"/>
      <c r="K84" s="419" t="n"/>
      <c r="L84" s="139" t="n"/>
      <c r="M84" s="520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419" t="n"/>
      <c r="I85" s="419" t="n"/>
      <c r="J85" s="419" t="n"/>
      <c r="K85" s="419" t="n"/>
      <c r="L85" s="139" t="n"/>
      <c r="M85" s="520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419" t="n"/>
      <c r="I86" s="419" t="n"/>
      <c r="J86" s="419" t="n"/>
      <c r="K86" s="419" t="n"/>
      <c r="L86" s="139" t="n"/>
      <c r="M86" s="520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419" t="n"/>
      <c r="I87" s="419" t="n"/>
      <c r="J87" s="419" t="n"/>
      <c r="K87" s="419" t="n"/>
      <c r="L87" s="139" t="n"/>
      <c r="M87" s="520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419" t="n"/>
      <c r="I88" s="419" t="n"/>
      <c r="J88" s="419" t="n"/>
      <c r="K88" s="419" t="n"/>
      <c r="L88" s="139" t="n"/>
      <c r="M88" s="520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419" t="n"/>
      <c r="I89" s="419" t="n"/>
      <c r="J89" s="419" t="n"/>
      <c r="K89" s="419" t="n"/>
      <c r="L89" s="139" t="n"/>
      <c r="M89" s="520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419" t="n"/>
      <c r="I90" s="419" t="n"/>
      <c r="J90" s="419" t="n"/>
      <c r="K90" s="419" t="n"/>
      <c r="L90" s="139" t="n"/>
      <c r="M90" s="520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419" t="n"/>
      <c r="I91" s="419" t="n"/>
      <c r="J91" s="419" t="n"/>
      <c r="K91" s="419" t="n"/>
      <c r="L91" s="139" t="n"/>
      <c r="M91" s="520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419" t="n"/>
      <c r="I92" s="419" t="n"/>
      <c r="J92" s="419" t="n"/>
      <c r="K92" s="419" t="n"/>
      <c r="L92" s="139" t="n"/>
      <c r="M92" s="520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419" t="n"/>
      <c r="I93" s="419" t="n"/>
      <c r="J93" s="419" t="n"/>
      <c r="K93" s="419" t="n"/>
      <c r="L93" s="139" t="n"/>
      <c r="M93" s="520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419" t="n"/>
      <c r="I94" s="419" t="n"/>
      <c r="J94" s="419" t="n"/>
      <c r="K94" s="419" t="n"/>
      <c r="L94" s="139" t="n"/>
      <c r="M94" s="520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419" t="n"/>
      <c r="I95" s="419" t="n"/>
      <c r="J95" s="419" t="n"/>
      <c r="K95" s="419" t="n"/>
      <c r="L95" s="139" t="n"/>
      <c r="M95" s="520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419" t="n"/>
      <c r="I96" s="419" t="n"/>
      <c r="J96" s="419" t="n"/>
      <c r="K96" s="419" t="n"/>
      <c r="L96" s="139" t="n"/>
      <c r="M96" s="520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419" t="n"/>
      <c r="I97" s="419" t="n"/>
      <c r="J97" s="419" t="n"/>
      <c r="K97" s="419" t="n"/>
      <c r="L97" s="139" t="n"/>
      <c r="M97" s="520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419" t="n"/>
      <c r="I98" s="419" t="n"/>
      <c r="J98" s="419" t="n"/>
      <c r="K98" s="419" t="n"/>
      <c r="L98" s="139" t="n"/>
      <c r="M98" s="520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419" t="n"/>
      <c r="I99" s="419" t="n"/>
      <c r="J99" s="419" t="n"/>
      <c r="K99" s="419" t="n"/>
      <c r="L99" s="139" t="n"/>
      <c r="M99" s="520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419" t="n"/>
      <c r="I100" s="419" t="n"/>
      <c r="J100" s="419" t="n"/>
      <c r="K100" s="419" t="n"/>
      <c r="L100" s="139" t="n"/>
      <c r="M100" s="520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419" t="n"/>
      <c r="I101" s="419" t="n"/>
      <c r="J101" s="419" t="n"/>
      <c r="K101" s="419" t="n"/>
      <c r="L101" s="139" t="n"/>
      <c r="M101" s="520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419" t="n"/>
      <c r="I102" s="419" t="n"/>
      <c r="J102" s="419" t="n"/>
      <c r="K102" s="419" t="n"/>
      <c r="L102" s="139" t="n"/>
      <c r="M102" s="520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419" t="n"/>
      <c r="I103" s="419" t="n"/>
      <c r="J103" s="419" t="n"/>
      <c r="K103" s="419" t="n"/>
      <c r="L103" s="139" t="n"/>
      <c r="M103" s="520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419" t="n"/>
      <c r="I104" s="419" t="n"/>
      <c r="J104" s="419" t="n"/>
      <c r="K104" s="419" t="n"/>
      <c r="L104" s="139" t="n"/>
      <c r="M104" s="520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419" t="n"/>
      <c r="I105" s="419" t="n"/>
      <c r="J105" s="419" t="n"/>
      <c r="K105" s="419" t="n"/>
      <c r="L105" s="139" t="n"/>
      <c r="M105" s="520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419" t="n"/>
      <c r="I106" s="419" t="n"/>
      <c r="J106" s="419" t="n"/>
      <c r="K106" s="419" t="n"/>
      <c r="L106" s="139" t="n"/>
      <c r="M106" s="520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419" t="n"/>
      <c r="I107" s="419" t="n"/>
      <c r="J107" s="419" t="n"/>
      <c r="K107" s="419" t="n"/>
      <c r="L107" s="139" t="n"/>
      <c r="M107" s="520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419" t="n"/>
      <c r="I108" s="419" t="n"/>
      <c r="J108" s="419" t="n"/>
      <c r="K108" s="419" t="n"/>
      <c r="L108" s="139" t="n"/>
      <c r="M108" s="520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419" t="n"/>
      <c r="I109" s="419" t="n"/>
      <c r="J109" s="419" t="n"/>
      <c r="K109" s="419" t="n"/>
      <c r="L109" s="139" t="n"/>
      <c r="M109" s="520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419" t="n"/>
      <c r="I110" s="419" t="n"/>
      <c r="J110" s="419" t="n"/>
      <c r="K110" s="419" t="n"/>
      <c r="L110" s="139" t="n"/>
      <c r="M110" s="520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419" t="n"/>
      <c r="I111" s="419" t="n"/>
      <c r="J111" s="419" t="n"/>
      <c r="K111" s="419" t="n"/>
      <c r="L111" s="139" t="n"/>
      <c r="M111" s="520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419" t="n"/>
      <c r="I112" s="419" t="n"/>
      <c r="J112" s="419" t="n"/>
      <c r="K112" s="419" t="n"/>
      <c r="L112" s="139" t="n"/>
      <c r="M112" s="520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419" t="n"/>
      <c r="I113" s="419" t="n"/>
      <c r="J113" s="419" t="n"/>
      <c r="K113" s="419" t="n"/>
      <c r="L113" s="139" t="n"/>
      <c r="M113" s="520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419" t="n"/>
      <c r="I114" s="419" t="n"/>
      <c r="J114" s="419" t="n"/>
      <c r="K114" s="419" t="n"/>
      <c r="L114" s="139" t="n"/>
      <c r="M114" s="520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419" t="n"/>
      <c r="I115" s="419" t="n"/>
      <c r="J115" s="419" t="n"/>
      <c r="K115" s="419" t="n"/>
      <c r="L115" s="139" t="n"/>
      <c r="M115" s="520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419" t="n"/>
      <c r="I116" s="419" t="n"/>
      <c r="J116" s="419" t="n"/>
      <c r="K116" s="419" t="n"/>
      <c r="L116" s="139" t="n"/>
      <c r="M116" s="520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419" t="n"/>
      <c r="I117" s="419" t="n"/>
      <c r="J117" s="419" t="n"/>
      <c r="K117" s="419" t="n"/>
      <c r="L117" s="139" t="n"/>
      <c r="M117" s="520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419" t="n"/>
      <c r="I118" s="419" t="n"/>
      <c r="J118" s="419" t="n"/>
      <c r="K118" s="419" t="n"/>
      <c r="L118" s="139" t="n"/>
      <c r="M118" s="520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419" t="n"/>
      <c r="I119" s="419" t="n"/>
      <c r="J119" s="419" t="n"/>
      <c r="K119" s="419" t="n"/>
      <c r="L119" s="139" t="n"/>
      <c r="M119" s="520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419" t="n"/>
      <c r="I120" s="419" t="n"/>
      <c r="J120" s="419" t="n"/>
      <c r="K120" s="419" t="n"/>
      <c r="L120" s="139" t="n"/>
      <c r="M120" s="520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419" t="n"/>
      <c r="I121" s="419" t="n"/>
      <c r="J121" s="419" t="n"/>
      <c r="K121" s="419" t="n"/>
      <c r="L121" s="139" t="n"/>
      <c r="M121" s="520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419" t="n"/>
      <c r="I122" s="419" t="n"/>
      <c r="J122" s="419" t="n"/>
      <c r="K122" s="419" t="n"/>
      <c r="L122" s="139" t="n"/>
      <c r="M122" s="520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419" t="n"/>
      <c r="I123" s="419" t="n"/>
      <c r="J123" s="419" t="n"/>
      <c r="K123" s="419" t="n"/>
      <c r="L123" s="139" t="n"/>
      <c r="M123" s="520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419" t="n"/>
      <c r="I124" s="419" t="n"/>
      <c r="J124" s="419" t="n"/>
      <c r="K124" s="419" t="n"/>
      <c r="L124" s="139" t="n"/>
      <c r="M124" s="520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419" t="n"/>
      <c r="I125" s="419" t="n"/>
      <c r="J125" s="419" t="n"/>
      <c r="K125" s="419" t="n"/>
      <c r="L125" s="139" t="n"/>
      <c r="M125" s="520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419" t="n"/>
      <c r="I126" s="419" t="n"/>
      <c r="J126" s="419" t="n"/>
      <c r="K126" s="419" t="n"/>
      <c r="L126" s="139" t="n"/>
      <c r="M126" s="520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419" t="n"/>
      <c r="I127" s="419" t="n"/>
      <c r="J127" s="419" t="n"/>
      <c r="K127" s="419" t="n"/>
      <c r="L127" s="139" t="n"/>
      <c r="M127" s="520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419" t="n"/>
      <c r="I128" s="419" t="n"/>
      <c r="J128" s="419" t="n"/>
      <c r="K128" s="419" t="n"/>
      <c r="L128" s="139" t="n"/>
      <c r="M128" s="520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419" t="n"/>
      <c r="I129" s="419" t="n"/>
      <c r="J129" s="419" t="n"/>
      <c r="K129" s="419" t="n"/>
      <c r="L129" s="139" t="n"/>
      <c r="M129" s="520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419" t="n"/>
      <c r="I130" s="419" t="n"/>
      <c r="J130" s="419" t="n"/>
      <c r="K130" s="419" t="n"/>
      <c r="L130" s="139" t="n"/>
      <c r="M130" s="520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419" t="n"/>
      <c r="I131" s="419" t="n"/>
      <c r="J131" s="419" t="n"/>
      <c r="K131" s="419" t="n"/>
      <c r="L131" s="139" t="n"/>
      <c r="M131" s="520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419" t="n"/>
      <c r="I132" s="419" t="n"/>
      <c r="J132" s="419" t="n"/>
      <c r="K132" s="419" t="n"/>
      <c r="L132" s="139" t="n"/>
      <c r="M132" s="520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419" t="n"/>
      <c r="I133" s="419" t="n"/>
      <c r="J133" s="419" t="n"/>
      <c r="K133" s="419" t="n"/>
      <c r="L133" s="139" t="n"/>
      <c r="M133" s="520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419" t="n"/>
      <c r="I134" s="419" t="n"/>
      <c r="J134" s="419" t="n"/>
      <c r="K134" s="419" t="n"/>
      <c r="L134" s="139" t="n"/>
      <c r="M134" s="520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419" t="n"/>
      <c r="I135" s="419" t="n"/>
      <c r="J135" s="419" t="n"/>
      <c r="K135" s="419" t="n"/>
      <c r="L135" s="139" t="n"/>
      <c r="M135" s="520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419" t="n"/>
      <c r="I136" s="419" t="n"/>
      <c r="J136" s="419" t="n"/>
      <c r="K136" s="419" t="n"/>
      <c r="L136" s="139" t="n"/>
      <c r="M136" s="520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419" t="n"/>
      <c r="I137" s="419" t="n"/>
      <c r="J137" s="419" t="n"/>
      <c r="K137" s="419" t="n"/>
      <c r="L137" s="139" t="n"/>
      <c r="M137" s="520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419" t="n"/>
      <c r="I138" s="419" t="n"/>
      <c r="J138" s="419" t="n"/>
      <c r="K138" s="419" t="n"/>
      <c r="L138" s="139" t="n"/>
      <c r="M138" s="520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419" t="n"/>
      <c r="I139" s="419" t="n"/>
      <c r="J139" s="419" t="n"/>
      <c r="K139" s="419" t="n"/>
      <c r="L139" s="139" t="n"/>
      <c r="M139" s="520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419" t="n"/>
      <c r="I140" s="419" t="n"/>
      <c r="J140" s="419" t="n"/>
      <c r="K140" s="419" t="n"/>
      <c r="L140" s="139" t="n"/>
      <c r="M140" s="520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419" t="n"/>
      <c r="I141" s="419" t="n"/>
      <c r="J141" s="419" t="n"/>
      <c r="K141" s="419" t="n"/>
      <c r="L141" s="139" t="n"/>
      <c r="M141" s="520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419" t="n"/>
      <c r="I142" s="419" t="n"/>
      <c r="J142" s="419" t="n"/>
      <c r="K142" s="419" t="n"/>
      <c r="L142" s="139" t="n"/>
      <c r="M142" s="520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419" t="n"/>
      <c r="I143" s="419" t="n"/>
      <c r="J143" s="419" t="n"/>
      <c r="K143" s="419" t="n"/>
      <c r="L143" s="139" t="n"/>
      <c r="M143" s="520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419" t="n"/>
      <c r="I144" s="419" t="n"/>
      <c r="J144" s="419" t="n"/>
      <c r="K144" s="419" t="n"/>
      <c r="L144" s="139" t="n"/>
      <c r="M144" s="520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419" t="n"/>
      <c r="I145" s="419" t="n"/>
      <c r="J145" s="419" t="n"/>
      <c r="K145" s="419" t="n"/>
      <c r="L145" s="139" t="n"/>
      <c r="M145" s="520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419" t="n"/>
      <c r="I146" s="419" t="n"/>
      <c r="J146" s="419" t="n"/>
      <c r="K146" s="419" t="n"/>
      <c r="L146" s="139" t="n"/>
      <c r="M146" s="520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419" t="n"/>
      <c r="I147" s="419" t="n"/>
      <c r="J147" s="419" t="n"/>
      <c r="K147" s="419" t="n"/>
      <c r="L147" s="139" t="n"/>
      <c r="M147" s="520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419" t="n"/>
      <c r="I148" s="419" t="n"/>
      <c r="J148" s="419" t="n"/>
      <c r="K148" s="419" t="n"/>
      <c r="L148" s="139" t="n"/>
      <c r="M148" s="520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419" t="n"/>
      <c r="I149" s="419" t="n"/>
      <c r="J149" s="419" t="n"/>
      <c r="K149" s="419" t="n"/>
      <c r="L149" s="139" t="n"/>
      <c r="M149" s="520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419" t="n"/>
      <c r="I150" s="419" t="n"/>
      <c r="J150" s="419" t="n"/>
      <c r="K150" s="419" t="n"/>
      <c r="L150" s="139" t="n"/>
      <c r="M150" s="520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419" t="n"/>
      <c r="I151" s="419" t="n"/>
      <c r="J151" s="419" t="n"/>
      <c r="K151" s="419" t="n"/>
      <c r="L151" s="139" t="n"/>
      <c r="M151" s="520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419" t="n"/>
      <c r="I152" s="419" t="n"/>
      <c r="J152" s="419" t="n"/>
      <c r="K152" s="419" t="n"/>
      <c r="L152" s="139" t="n"/>
      <c r="M152" s="520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419" t="n"/>
      <c r="I153" s="419" t="n"/>
      <c r="J153" s="419" t="n"/>
      <c r="K153" s="419" t="n"/>
      <c r="L153" s="139" t="n"/>
      <c r="M153" s="520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419" t="n"/>
      <c r="I154" s="419" t="n"/>
      <c r="J154" s="419" t="n"/>
      <c r="K154" s="419" t="n"/>
      <c r="L154" s="139" t="n"/>
      <c r="M154" s="520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419" t="n"/>
      <c r="I155" s="419" t="n"/>
      <c r="J155" s="419" t="n"/>
      <c r="K155" s="419" t="n"/>
      <c r="L155" s="139" t="n"/>
      <c r="M155" s="520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419" t="n"/>
      <c r="I156" s="419" t="n"/>
      <c r="J156" s="419" t="n"/>
      <c r="K156" s="419" t="n"/>
      <c r="L156" s="139" t="n"/>
      <c r="M156" s="520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419" t="n"/>
      <c r="I157" s="419" t="n"/>
      <c r="J157" s="419" t="n"/>
      <c r="K157" s="419" t="n"/>
      <c r="L157" s="139" t="n"/>
      <c r="M157" s="520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419" t="n"/>
      <c r="I158" s="419" t="n"/>
      <c r="J158" s="419" t="n"/>
      <c r="K158" s="419" t="n"/>
      <c r="L158" s="139" t="n"/>
      <c r="M158" s="520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419" t="n"/>
      <c r="I159" s="419" t="n"/>
      <c r="J159" s="419" t="n"/>
      <c r="K159" s="419" t="n"/>
      <c r="L159" s="139" t="n"/>
      <c r="M159" s="520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419" t="n"/>
      <c r="I160" s="419" t="n"/>
      <c r="J160" s="419" t="n"/>
      <c r="K160" s="419" t="n"/>
      <c r="L160" s="139" t="n"/>
      <c r="M160" s="520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419" t="n"/>
      <c r="I161" s="419" t="n"/>
      <c r="J161" s="419" t="n"/>
      <c r="K161" s="419" t="n"/>
      <c r="L161" s="139" t="n"/>
      <c r="M161" s="520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419" t="n"/>
      <c r="I162" s="419" t="n"/>
      <c r="J162" s="419" t="n"/>
      <c r="K162" s="419" t="n"/>
      <c r="L162" s="139" t="n"/>
      <c r="M162" s="520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419" t="n"/>
      <c r="I163" s="419" t="n"/>
      <c r="J163" s="419" t="n"/>
      <c r="K163" s="419" t="n"/>
      <c r="L163" s="139" t="n"/>
      <c r="M163" s="520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419" t="n"/>
      <c r="I164" s="419" t="n"/>
      <c r="J164" s="419" t="n"/>
      <c r="K164" s="419" t="n"/>
      <c r="L164" s="139" t="n"/>
      <c r="M164" s="520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419" t="n"/>
      <c r="I165" s="419" t="n"/>
      <c r="J165" s="419" t="n"/>
      <c r="K165" s="419" t="n"/>
      <c r="L165" s="139" t="n"/>
      <c r="M165" s="520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419" t="n"/>
      <c r="I166" s="419" t="n"/>
      <c r="J166" s="419" t="n"/>
      <c r="K166" s="419" t="n"/>
      <c r="L166" s="139" t="n"/>
      <c r="M166" s="520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419" t="n"/>
      <c r="I167" s="419" t="n"/>
      <c r="J167" s="419" t="n"/>
      <c r="K167" s="419" t="n"/>
      <c r="L167" s="139" t="n"/>
      <c r="M167" s="520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419" t="n"/>
      <c r="I168" s="419" t="n"/>
      <c r="J168" s="419" t="n"/>
      <c r="K168" s="419" t="n"/>
      <c r="L168" s="139" t="n"/>
      <c r="M168" s="520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419" t="n"/>
      <c r="I169" s="419" t="n"/>
      <c r="J169" s="419" t="n"/>
      <c r="K169" s="419" t="n"/>
      <c r="L169" s="139" t="n"/>
      <c r="M169" s="520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419" t="n"/>
      <c r="I170" s="419" t="n"/>
      <c r="J170" s="419" t="n"/>
      <c r="K170" s="419" t="n"/>
      <c r="L170" s="139" t="n"/>
      <c r="M170" s="520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419" t="n"/>
      <c r="I171" s="419" t="n"/>
      <c r="J171" s="419" t="n"/>
      <c r="K171" s="419" t="n"/>
      <c r="L171" s="139" t="n"/>
      <c r="M171" s="520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419" t="n"/>
      <c r="I172" s="419" t="n"/>
      <c r="J172" s="419" t="n"/>
      <c r="K172" s="419" t="n"/>
      <c r="L172" s="139" t="n"/>
      <c r="M172" s="520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419" t="n"/>
      <c r="I173" s="419" t="n"/>
      <c r="J173" s="419" t="n"/>
      <c r="K173" s="419" t="n"/>
      <c r="L173" s="139" t="n"/>
      <c r="M173" s="520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419" t="n"/>
      <c r="I174" s="419" t="n"/>
      <c r="J174" s="419" t="n"/>
      <c r="K174" s="419" t="n"/>
      <c r="L174" s="139" t="n"/>
      <c r="M174" s="520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419" t="n"/>
      <c r="I175" s="419" t="n"/>
      <c r="J175" s="419" t="n"/>
      <c r="K175" s="419" t="n"/>
      <c r="L175" s="139" t="n"/>
      <c r="M175" s="520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419" t="n"/>
      <c r="I176" s="419" t="n"/>
      <c r="J176" s="419" t="n"/>
      <c r="K176" s="419" t="n"/>
      <c r="L176" s="139" t="n"/>
      <c r="M176" s="520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419" t="n"/>
      <c r="I177" s="419" t="n"/>
      <c r="J177" s="419" t="n"/>
      <c r="K177" s="419" t="n"/>
      <c r="L177" s="139" t="n"/>
      <c r="M177" s="520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419" t="n"/>
      <c r="I178" s="419" t="n"/>
      <c r="J178" s="419" t="n"/>
      <c r="K178" s="419" t="n"/>
      <c r="L178" s="139" t="n"/>
      <c r="M178" s="520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419" t="n"/>
      <c r="I179" s="419" t="n"/>
      <c r="J179" s="419" t="n"/>
      <c r="K179" s="419" t="n"/>
      <c r="L179" s="139" t="n"/>
      <c r="M179" s="520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419" t="n"/>
      <c r="I180" s="419" t="n"/>
      <c r="J180" s="419" t="n"/>
      <c r="K180" s="419" t="n"/>
      <c r="L180" s="139" t="n"/>
      <c r="M180" s="520" t="n"/>
    </row>
    <row r="181">
      <c r="G181" s="419" t="n"/>
      <c r="H181" s="419" t="n"/>
      <c r="I181" s="419" t="n"/>
      <c r="J181" s="419" t="n"/>
      <c r="K181" s="419" t="n"/>
      <c r="L181" s="141" t="n"/>
    </row>
    <row r="182">
      <c r="G182" s="419" t="n"/>
      <c r="H182" s="419" t="n"/>
      <c r="I182" s="419" t="n"/>
      <c r="J182" s="419" t="n"/>
      <c r="K182" s="419" t="n"/>
      <c r="L182" s="141" t="n"/>
    </row>
    <row r="183">
      <c r="G183" s="419" t="n"/>
      <c r="H183" s="419" t="n"/>
      <c r="I183" s="419" t="n"/>
      <c r="J183" s="419" t="n"/>
      <c r="K183" s="419" t="n"/>
      <c r="L183" s="141" t="n"/>
    </row>
    <row r="184">
      <c r="G184" s="419" t="n"/>
      <c r="H184" s="419" t="n"/>
      <c r="I184" s="419" t="n"/>
      <c r="J184" s="419" t="n"/>
      <c r="K184" s="419" t="n"/>
      <c r="L184" s="141" t="n"/>
    </row>
    <row r="185">
      <c r="G185" s="419" t="n"/>
      <c r="H185" s="419" t="n"/>
      <c r="I185" s="419" t="n"/>
      <c r="J185" s="419" t="n"/>
      <c r="K185" s="419" t="n"/>
      <c r="L185" s="141" t="n"/>
    </row>
    <row r="186">
      <c r="G186" s="419" t="n"/>
      <c r="H186" s="419" t="n"/>
      <c r="I186" s="419" t="n"/>
      <c r="J186" s="419" t="n"/>
      <c r="K186" s="419" t="n"/>
      <c r="L186" s="141" t="n"/>
    </row>
    <row r="187">
      <c r="G187" s="419" t="n"/>
      <c r="H187" s="419" t="n"/>
      <c r="I187" s="419" t="n"/>
      <c r="J187" s="419" t="n"/>
      <c r="K187" s="419" t="n"/>
      <c r="L187" s="141" t="n"/>
    </row>
    <row r="188">
      <c r="G188" s="419" t="n"/>
      <c r="H188" s="419" t="n"/>
      <c r="I188" s="419" t="n"/>
      <c r="J188" s="419" t="n"/>
      <c r="K188" s="419" t="n"/>
      <c r="L188" s="141" t="n"/>
    </row>
    <row r="189">
      <c r="G189" s="419" t="n"/>
      <c r="H189" s="419" t="n"/>
      <c r="I189" s="419" t="n"/>
      <c r="J189" s="419" t="n"/>
      <c r="K189" s="419" t="n"/>
      <c r="L189" s="141" t="n"/>
    </row>
    <row r="190">
      <c r="G190" s="419" t="n"/>
      <c r="H190" s="419" t="n"/>
      <c r="I190" s="419" t="n"/>
      <c r="J190" s="419" t="n"/>
      <c r="K190" s="419" t="n"/>
      <c r="L190" s="141" t="n"/>
    </row>
    <row r="191">
      <c r="G191" s="419" t="n"/>
      <c r="H191" s="419" t="n"/>
      <c r="I191" s="419" t="n"/>
      <c r="J191" s="419" t="n"/>
      <c r="K191" s="419" t="n"/>
      <c r="L191" s="141" t="n"/>
    </row>
    <row r="192">
      <c r="G192" s="419" t="n"/>
      <c r="H192" s="419" t="n"/>
      <c r="I192" s="419" t="n"/>
      <c r="J192" s="419" t="n"/>
      <c r="K192" s="419" t="n"/>
      <c r="L192" s="141" t="n"/>
    </row>
    <row r="193">
      <c r="G193" s="419" t="n"/>
      <c r="H193" s="419" t="n"/>
      <c r="I193" s="419" t="n"/>
      <c r="J193" s="419" t="n"/>
      <c r="K193" s="419" t="n"/>
      <c r="L193" s="141" t="n"/>
    </row>
    <row r="194">
      <c r="G194" s="419" t="n"/>
      <c r="H194" s="419" t="n"/>
      <c r="I194" s="419" t="n"/>
      <c r="J194" s="419" t="n"/>
      <c r="K194" s="419" t="n"/>
      <c r="L194" s="141" t="n"/>
    </row>
    <row r="195">
      <c r="G195" s="419" t="n"/>
      <c r="H195" s="419" t="n"/>
      <c r="I195" s="419" t="n"/>
      <c r="J195" s="419" t="n"/>
      <c r="K195" s="419" t="n"/>
      <c r="L195" s="141" t="n"/>
    </row>
    <row r="196">
      <c r="G196" s="419" t="n"/>
      <c r="H196" s="419" t="n"/>
      <c r="I196" s="419" t="n"/>
      <c r="J196" s="419" t="n"/>
      <c r="K196" s="419" t="n"/>
      <c r="L196" s="141" t="n"/>
    </row>
    <row r="197">
      <c r="G197" s="419" t="n"/>
      <c r="H197" s="419" t="n"/>
      <c r="I197" s="419" t="n"/>
      <c r="J197" s="419" t="n"/>
      <c r="K197" s="419" t="n"/>
      <c r="L197" s="141" t="n"/>
    </row>
    <row r="198">
      <c r="G198" s="419" t="n"/>
      <c r="H198" s="419" t="n"/>
      <c r="I198" s="419" t="n"/>
      <c r="J198" s="419" t="n"/>
      <c r="K198" s="419" t="n"/>
      <c r="L198" s="141" t="n"/>
    </row>
    <row r="199">
      <c r="G199" s="419" t="n"/>
      <c r="H199" s="419" t="n"/>
      <c r="I199" s="419" t="n"/>
      <c r="J199" s="419" t="n"/>
      <c r="K199" s="419" t="n"/>
      <c r="L199" s="141" t="n"/>
    </row>
    <row r="200">
      <c r="G200" s="419" t="n"/>
      <c r="H200" s="419" t="n"/>
      <c r="I200" s="419" t="n"/>
      <c r="J200" s="419" t="n"/>
      <c r="K200" s="419" t="n"/>
      <c r="L200" s="141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FF0000"/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" customWidth="1" style="53" min="7" max="7"/>
    <col width="12.125" customWidth="1" style="54" min="8" max="8"/>
    <col width="9.875" customWidth="1" style="54" min="9" max="9"/>
    <col width="12.125" customWidth="1" style="54" min="10" max="10"/>
    <col width="9" customWidth="1" style="54" min="11" max="11"/>
    <col width="9" customWidth="1" style="424" min="12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5" t="inlineStr">
        <is>
          <t>网价[2026-04-29]</t>
        </is>
      </c>
      <c r="H1" s="57" t="inlineStr">
        <is>
          <t>填写抗震基价</t>
        </is>
      </c>
      <c r="I1" s="542" t="n"/>
      <c r="J1" s="58" t="n"/>
      <c r="K1" s="551" t="n"/>
      <c r="L1" s="60" t="n"/>
      <c r="M1" s="60" t="n"/>
    </row>
    <row r="2" ht="14.25" customHeight="1" s="527">
      <c r="A2" s="11" t="inlineStr">
        <is>
          <t>钢材询价表（中天）</t>
        </is>
      </c>
      <c r="F2" s="513" t="inlineStr">
        <is>
          <t>高线10基价</t>
        </is>
      </c>
      <c r="G2" s="61" t="inlineStr">
        <is>
          <t>/</t>
        </is>
      </c>
      <c r="H2" s="14" t="n"/>
      <c r="I2" s="62" t="inlineStr">
        <is>
          <t>/</t>
        </is>
      </c>
      <c r="J2" s="14" t="n"/>
      <c r="K2" s="63" t="inlineStr">
        <is>
          <t>/</t>
        </is>
      </c>
      <c r="L2" s="60" t="n"/>
      <c r="M2" s="60" t="n"/>
    </row>
    <row r="3" ht="14.25" customHeight="1" s="527">
      <c r="F3" s="513" t="inlineStr">
        <is>
          <t>盘螺10基价</t>
        </is>
      </c>
      <c r="G3" s="64" t="n">
        <v>3600</v>
      </c>
      <c r="H3" s="17" t="n"/>
      <c r="I3" s="62" t="inlineStr">
        <is>
          <t>/</t>
        </is>
      </c>
      <c r="J3" s="17" t="n"/>
      <c r="K3" s="63" t="inlineStr">
        <is>
          <t>/</t>
        </is>
      </c>
      <c r="L3" s="60" t="n"/>
      <c r="M3" s="60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64" t="n">
        <v>3400</v>
      </c>
      <c r="H4" s="17" t="n"/>
      <c r="I4" s="62" t="inlineStr">
        <is>
          <t>/</t>
        </is>
      </c>
      <c r="J4" s="17" t="n"/>
      <c r="K4" s="63" t="inlineStr">
        <is>
          <t>/</t>
        </is>
      </c>
      <c r="L4" s="60" t="n"/>
      <c r="M4" s="60" t="n"/>
    </row>
    <row r="5" ht="14.25" customHeight="1" s="527">
      <c r="E5" s="533" t="n"/>
      <c r="F5" s="21" t="inlineStr">
        <is>
          <t>不开票运费</t>
        </is>
      </c>
      <c r="G5" s="65" t="n"/>
      <c r="H5" s="22" t="n"/>
      <c r="I5" s="62" t="inlineStr">
        <is>
          <t>/</t>
        </is>
      </c>
      <c r="J5" s="22" t="n"/>
      <c r="K5" s="63" t="inlineStr">
        <is>
          <t>/</t>
        </is>
      </c>
      <c r="L5" s="60" t="n"/>
      <c r="M5" s="60" t="n"/>
    </row>
    <row r="6" ht="14.25" customHeight="1" s="527">
      <c r="E6" s="533" t="n"/>
      <c r="F6" s="21" t="inlineStr">
        <is>
          <t>一票制运费</t>
        </is>
      </c>
      <c r="G6" s="66" t="n">
        <v>0</v>
      </c>
      <c r="H6" s="22" t="n"/>
      <c r="I6" s="62" t="n"/>
      <c r="J6" s="22" t="n"/>
      <c r="K6" s="63" t="inlineStr">
        <is>
          <t>/</t>
        </is>
      </c>
      <c r="L6" s="60" t="n"/>
      <c r="M6" s="60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66" t="n"/>
      <c r="H7" s="22" t="n"/>
      <c r="I7" s="62" t="inlineStr">
        <is>
          <t>/</t>
        </is>
      </c>
      <c r="J7" s="22" t="n"/>
      <c r="K7" s="63" t="inlineStr">
        <is>
          <t>/</t>
        </is>
      </c>
      <c r="L7" s="60" t="n"/>
      <c r="M7" s="6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61" t="inlineStr">
        <is>
          <t>合肥市场网价</t>
        </is>
      </c>
      <c r="H8" s="14" t="inlineStr">
        <is>
          <t>筑建</t>
        </is>
      </c>
      <c r="I8" s="62" t="inlineStr">
        <is>
          <t>网差</t>
        </is>
      </c>
      <c r="J8" s="14" t="inlineStr">
        <is>
          <t>找钢</t>
        </is>
      </c>
      <c r="K8" s="63" t="inlineStr">
        <is>
          <t>网差</t>
        </is>
      </c>
      <c r="L8" s="60" t="n"/>
      <c r="M8" s="60" t="n"/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61" t="inlineStr">
        <is>
          <t>/</t>
        </is>
      </c>
      <c r="H9" s="62" t="inlineStr">
        <is>
          <t>/</t>
        </is>
      </c>
      <c r="I9" s="62" t="inlineStr">
        <is>
          <t>/</t>
        </is>
      </c>
      <c r="J9" s="62" t="inlineStr">
        <is>
          <t>/</t>
        </is>
      </c>
      <c r="K9" s="63" t="inlineStr">
        <is>
          <t>/</t>
        </is>
      </c>
      <c r="L9" s="60" t="n"/>
      <c r="M9" s="6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61" t="inlineStr">
        <is>
          <t>/</t>
        </is>
      </c>
      <c r="H10" s="62" t="inlineStr">
        <is>
          <t>/</t>
        </is>
      </c>
      <c r="I10" s="62" t="inlineStr">
        <is>
          <t>/</t>
        </is>
      </c>
      <c r="J10" s="62" t="inlineStr">
        <is>
          <t>/</t>
        </is>
      </c>
      <c r="K10" s="63" t="inlineStr">
        <is>
          <t>/</t>
        </is>
      </c>
      <c r="L10" s="60" t="n"/>
      <c r="M10" s="6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61" t="inlineStr">
        <is>
          <t>/</t>
        </is>
      </c>
      <c r="H11" s="62" t="inlineStr">
        <is>
          <t>/</t>
        </is>
      </c>
      <c r="I11" s="62" t="inlineStr">
        <is>
          <t>/</t>
        </is>
      </c>
      <c r="J11" s="62" t="inlineStr">
        <is>
          <t>/</t>
        </is>
      </c>
      <c r="K11" s="63" t="inlineStr">
        <is>
          <t>/</t>
        </is>
      </c>
      <c r="L11" s="60" t="n"/>
      <c r="M11" s="6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67">
        <f>G3+300</f>
        <v/>
      </c>
      <c r="H12" s="68">
        <f>H3+H6+300</f>
        <v/>
      </c>
      <c r="I12" s="62">
        <f>G12-H12</f>
        <v/>
      </c>
      <c r="J12" s="68">
        <f>J3+J6+300</f>
        <v/>
      </c>
      <c r="K12" s="63">
        <f>G12-J12</f>
        <v/>
      </c>
      <c r="L12" s="75" t="n">
        <v>300</v>
      </c>
      <c r="M12" s="6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66">
        <f>G3+G6+G7</f>
        <v/>
      </c>
      <c r="H13" s="22">
        <f>H3+H6+H7</f>
        <v/>
      </c>
      <c r="I13" s="62">
        <f>G13-H13</f>
        <v/>
      </c>
      <c r="J13" s="22">
        <f>J3+J6+J7</f>
        <v/>
      </c>
      <c r="K13" s="63">
        <f>G13-J13</f>
        <v/>
      </c>
      <c r="L13" s="75" t="n">
        <v>0</v>
      </c>
      <c r="M13" s="6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70">
        <f>G3+G6+G7</f>
        <v/>
      </c>
      <c r="H14" s="71">
        <f>H3+H6+H7</f>
        <v/>
      </c>
      <c r="I14" s="62">
        <f>G14-H14</f>
        <v/>
      </c>
      <c r="J14" s="71">
        <f>J3+J6+J7</f>
        <v/>
      </c>
      <c r="K14" s="72">
        <f>G14-J14</f>
        <v/>
      </c>
      <c r="L14" s="75" t="n">
        <v>0</v>
      </c>
      <c r="M14" s="60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66" t="n"/>
      <c r="H15" s="22">
        <f>H3+H6+50</f>
        <v/>
      </c>
      <c r="I15" s="15" t="n"/>
      <c r="J15" s="22" t="n"/>
      <c r="K15" s="16" t="n"/>
      <c r="L15" s="75" t="n">
        <v>50</v>
      </c>
      <c r="M15" s="60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66">
        <f>G4+G6+G7+80+40-20</f>
        <v/>
      </c>
      <c r="H16" s="22">
        <f>H4+H6+H7+100</f>
        <v/>
      </c>
      <c r="I16" s="62">
        <f>G16-H16</f>
        <v/>
      </c>
      <c r="J16" s="22">
        <f>J4+J6+J7+100</f>
        <v/>
      </c>
      <c r="K16" s="63">
        <f>G16-J16</f>
        <v/>
      </c>
      <c r="L16" s="75" t="n">
        <v>100</v>
      </c>
      <c r="M16" s="60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66">
        <f>G4+G6+G7+80+40-20</f>
        <v/>
      </c>
      <c r="H17" s="22">
        <f>H4+H6+H7+100</f>
        <v/>
      </c>
      <c r="I17" s="62">
        <f>G17-H17</f>
        <v/>
      </c>
      <c r="J17" s="22">
        <f>J4+J6+J7+100</f>
        <v/>
      </c>
      <c r="K17" s="63">
        <f>G17-J17</f>
        <v/>
      </c>
      <c r="L17" s="75" t="n">
        <v>100</v>
      </c>
      <c r="M17" s="60" t="n">
        <v>2.494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66">
        <f>G4+G6+G7+30</f>
        <v/>
      </c>
      <c r="H18" s="22">
        <f>H4+H6+H7+30</f>
        <v/>
      </c>
      <c r="I18" s="62">
        <f>G18-H18</f>
        <v/>
      </c>
      <c r="J18" s="22">
        <f>J4+J6+J7+30</f>
        <v/>
      </c>
      <c r="K18" s="63">
        <f>G18-J18</f>
        <v/>
      </c>
      <c r="L18" s="75" t="n">
        <v>30</v>
      </c>
      <c r="M18" s="60" t="n">
        <v>1.83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66">
        <f>G4+G6+G7+30</f>
        <v/>
      </c>
      <c r="H19" s="22">
        <f>H4+H6+H7+30</f>
        <v/>
      </c>
      <c r="I19" s="62">
        <f>G19-H19</f>
        <v/>
      </c>
      <c r="J19" s="22">
        <f>J4+J6+J7+30</f>
        <v/>
      </c>
      <c r="K19" s="63">
        <f>G19-J19</f>
        <v/>
      </c>
      <c r="L19" s="75" t="n">
        <v>30</v>
      </c>
      <c r="M19" s="60" t="n">
        <v>2.251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66">
        <f>G4+G6+G7+30-20</f>
        <v/>
      </c>
      <c r="H20" s="22">
        <f>H4+H6+H7+30</f>
        <v/>
      </c>
      <c r="I20" s="62">
        <f>G20-H20</f>
        <v/>
      </c>
      <c r="J20" s="22">
        <f>J4+J6+J7+30</f>
        <v/>
      </c>
      <c r="K20" s="63">
        <f>G20-J20</f>
        <v/>
      </c>
      <c r="L20" s="75" t="n">
        <v>30</v>
      </c>
      <c r="M20" s="60" t="n">
        <v>1.778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66">
        <f>G4+G6+G7+30-20</f>
        <v/>
      </c>
      <c r="H21" s="22">
        <f>H4+H6+30</f>
        <v/>
      </c>
      <c r="I21" s="62">
        <f>G21-H21</f>
        <v/>
      </c>
      <c r="J21" s="22">
        <f>J4+J6+J7+30</f>
        <v/>
      </c>
      <c r="K21" s="63">
        <f>G21-J21</f>
        <v/>
      </c>
      <c r="L21" s="75" t="n">
        <v>30</v>
      </c>
      <c r="M21" s="60" t="n">
        <v>1.896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70">
        <f>G4+G6+G7</f>
        <v/>
      </c>
      <c r="H22" s="71">
        <f>H4+H6+H7</f>
        <v/>
      </c>
      <c r="I22" s="62">
        <f>G22-H22</f>
        <v/>
      </c>
      <c r="J22" s="71">
        <f>J4+J6+J7</f>
        <v/>
      </c>
      <c r="K22" s="72">
        <f>G22-J22</f>
        <v/>
      </c>
      <c r="L22" s="75" t="n">
        <v>0</v>
      </c>
      <c r="M22" s="60" t="n">
        <v>1.728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70">
        <f>G4+G6+G7</f>
        <v/>
      </c>
      <c r="H23" s="71">
        <f>H4+H6+H7</f>
        <v/>
      </c>
      <c r="I23" s="62">
        <f>G23-H23</f>
        <v/>
      </c>
      <c r="J23" s="71">
        <f>J4+J6+J7</f>
        <v/>
      </c>
      <c r="K23" s="72">
        <f>G23-J23</f>
        <v/>
      </c>
      <c r="L23" s="75" t="n">
        <v>0</v>
      </c>
      <c r="M23" s="60" t="n">
        <v>1.8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66">
        <f>G4+G6+G7+10+10</f>
        <v/>
      </c>
      <c r="H24" s="22">
        <f>H4+H6+H7+30</f>
        <v/>
      </c>
      <c r="I24" s="62">
        <f>G24-H24</f>
        <v/>
      </c>
      <c r="J24" s="22">
        <f>J4+J6+J7+30</f>
        <v/>
      </c>
      <c r="K24" s="63">
        <f>G24-J24</f>
        <v/>
      </c>
      <c r="L24" s="75" t="n">
        <v>30</v>
      </c>
      <c r="M24" s="9" t="n">
        <v>1.89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66">
        <f>G4+G6+G7+10+10</f>
        <v/>
      </c>
      <c r="H25" s="22">
        <f>H4+H6+H7+30</f>
        <v/>
      </c>
      <c r="I25" s="62">
        <f>G25-H25</f>
        <v/>
      </c>
      <c r="J25" s="22">
        <f>J4+J6+J7+30</f>
        <v/>
      </c>
      <c r="K25" s="63">
        <f>G25-J25</f>
        <v/>
      </c>
      <c r="L25" s="75" t="n">
        <v>30</v>
      </c>
      <c r="M25" s="60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66">
        <f>G4+G6+G7+30</f>
        <v/>
      </c>
      <c r="H26" s="73">
        <f>H4+H6+H7+30+20</f>
        <v/>
      </c>
      <c r="I26" s="62">
        <f>G26-H26</f>
        <v/>
      </c>
      <c r="J26" s="73">
        <f>J4+J6+J7+30+20</f>
        <v/>
      </c>
      <c r="K26" s="74">
        <f>G26-J26</f>
        <v/>
      </c>
      <c r="L26" s="75" t="n">
        <v>50</v>
      </c>
      <c r="M26" s="60" t="n">
        <v>1.851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66">
        <f>G4+G6+G7+30</f>
        <v/>
      </c>
      <c r="H27" s="73">
        <f>H4+H6+H7+30+20</f>
        <v/>
      </c>
      <c r="I27" s="62">
        <f>G27-H27</f>
        <v/>
      </c>
      <c r="J27" s="73">
        <f>J4+J6+J7+30+20</f>
        <v/>
      </c>
      <c r="K27" s="74">
        <f>G27-J27</f>
        <v/>
      </c>
      <c r="L27" s="75" t="n">
        <v>50</v>
      </c>
      <c r="M27" s="60" t="n">
        <v>2.754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66">
        <f>G4+G6+G7+30+10</f>
        <v/>
      </c>
      <c r="H28" s="22">
        <f>H4+H6+H7+50+30</f>
        <v/>
      </c>
      <c r="I28" s="62">
        <f>G28-H28</f>
        <v/>
      </c>
      <c r="J28" s="22">
        <f>J4+J6+J7+30+50</f>
        <v/>
      </c>
      <c r="K28" s="63">
        <f>G28-J28</f>
        <v/>
      </c>
      <c r="L28" s="75" t="n">
        <v>80</v>
      </c>
      <c r="M28" s="60" t="n">
        <v>1.733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66">
        <f>G4+G6+G7+30+10</f>
        <v/>
      </c>
      <c r="H29" s="22">
        <f>H4+H6+H7+50+30</f>
        <v/>
      </c>
      <c r="I29" s="62">
        <f>G29-H29</f>
        <v/>
      </c>
      <c r="J29" s="22">
        <f>J4+J6+J7+30+50</f>
        <v/>
      </c>
      <c r="K29" s="63">
        <f>G29-J29</f>
        <v/>
      </c>
      <c r="L29" s="75" t="n">
        <v>80</v>
      </c>
      <c r="M29" s="60" t="n">
        <v>2.449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61" t="inlineStr">
        <is>
          <t>/</t>
        </is>
      </c>
      <c r="H30" s="22">
        <f>H4+H6+H7+80</f>
        <v/>
      </c>
      <c r="I30" s="62">
        <f>G30-H30</f>
        <v/>
      </c>
      <c r="J30" s="22">
        <f>J4+J6+J7+80</f>
        <v/>
      </c>
      <c r="K30" s="63">
        <f>G30-J30</f>
        <v/>
      </c>
      <c r="L30" s="75" t="n">
        <v>80</v>
      </c>
      <c r="M30" s="60" t="n">
        <v>2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61" t="inlineStr">
        <is>
          <t>/</t>
        </is>
      </c>
      <c r="H31" s="22">
        <f>H4+H6+H7+80</f>
        <v/>
      </c>
      <c r="I31" s="62">
        <f>G31-H31</f>
        <v/>
      </c>
      <c r="J31" s="22">
        <f>J4+J6+J7+80</f>
        <v/>
      </c>
      <c r="K31" s="63">
        <f>G31-J31</f>
        <v/>
      </c>
      <c r="L31" s="75" t="n">
        <v>80</v>
      </c>
      <c r="M31" s="9" t="n">
        <v>1.913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61" t="inlineStr">
        <is>
          <t>/</t>
        </is>
      </c>
      <c r="H32" s="22">
        <f>H4+H6+H7+80</f>
        <v/>
      </c>
      <c r="I32" s="62">
        <f>G32-H32</f>
        <v/>
      </c>
      <c r="J32" s="22">
        <f>J4+J6+J7+80</f>
        <v/>
      </c>
      <c r="K32" s="63">
        <f>G32-J32</f>
        <v/>
      </c>
      <c r="L32" s="75" t="n">
        <v>80</v>
      </c>
      <c r="M32" s="60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61" t="inlineStr">
        <is>
          <t>/</t>
        </is>
      </c>
      <c r="H33" s="22">
        <f>H4+H6+H7+80</f>
        <v/>
      </c>
      <c r="I33" s="62">
        <f>G33-H33</f>
        <v/>
      </c>
      <c r="J33" s="22">
        <f>J4+J6+J7+80</f>
        <v/>
      </c>
      <c r="K33" s="63">
        <f>G33-J33</f>
        <v/>
      </c>
      <c r="L33" s="75" t="n">
        <v>80</v>
      </c>
      <c r="M33" s="60" t="n">
        <v>1.742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76" t="n"/>
      <c r="H34" s="45" t="n"/>
      <c r="I34" s="62" t="n"/>
      <c r="J34" s="45" t="n"/>
      <c r="K34" s="63" t="n"/>
      <c r="L34" s="60" t="n"/>
      <c r="M34" s="60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78" t="n"/>
      <c r="H35" s="48" t="n"/>
      <c r="I35" s="62" t="n"/>
      <c r="J35" s="48" t="n"/>
      <c r="K35" s="63" t="n"/>
      <c r="L35" s="60" t="n"/>
      <c r="M35" s="60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</row>
    <row r="181">
      <c r="G181" s="440" t="n"/>
    </row>
    <row r="182">
      <c r="G182" s="440" t="n"/>
    </row>
    <row r="183">
      <c r="G183" s="440" t="n"/>
    </row>
    <row r="184">
      <c r="G184" s="440" t="n"/>
    </row>
    <row r="185">
      <c r="G185" s="440" t="n"/>
    </row>
    <row r="186">
      <c r="G186" s="440" t="n"/>
    </row>
    <row r="187">
      <c r="G187" s="440" t="n"/>
    </row>
    <row r="188">
      <c r="G188" s="440" t="n"/>
    </row>
    <row r="189">
      <c r="G189" s="440" t="n"/>
    </row>
    <row r="190">
      <c r="G190" s="440" t="n"/>
    </row>
    <row r="191">
      <c r="G191" s="440" t="n"/>
    </row>
    <row r="192">
      <c r="G192" s="440" t="n"/>
    </row>
    <row r="193">
      <c r="G193" s="440" t="n"/>
    </row>
    <row r="194">
      <c r="G194" s="440" t="n"/>
    </row>
    <row r="195">
      <c r="G195" s="440" t="n"/>
    </row>
    <row r="196">
      <c r="G196" s="440" t="n"/>
    </row>
    <row r="197">
      <c r="G197" s="440" t="n"/>
    </row>
    <row r="198">
      <c r="G198" s="440" t="n"/>
    </row>
    <row r="199">
      <c r="G199" s="440" t="n"/>
    </row>
    <row r="200">
      <c r="G200" s="440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新兴铸管">
    <outlinePr summaryBelow="1" summaryRight="1"/>
    <pageSetUpPr/>
  </sheetPr>
  <dimension ref="A1:P200"/>
  <sheetViews>
    <sheetView topLeftCell="A7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.875" customWidth="1" style="3" min="11" max="11"/>
    <col hidden="1" width="9" customWidth="1" style="440" min="12" max="12"/>
    <col width="9" customWidth="1" style="440" min="13" max="14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6" t="inlineStr">
        <is>
          <t>网价[2026-04-30]</t>
        </is>
      </c>
      <c r="H1" s="8" t="n"/>
      <c r="I1" s="542" t="n"/>
      <c r="J1" s="7" t="n"/>
      <c r="K1" s="541" t="n"/>
      <c r="L1" s="9" t="inlineStr">
        <is>
          <t>芜湖新兴</t>
        </is>
      </c>
      <c r="M1" s="10" t="inlineStr">
        <is>
          <t>邯郸新兴</t>
        </is>
      </c>
      <c r="N1" s="9" t="n"/>
    </row>
    <row r="2" ht="14.25" customHeight="1" s="527">
      <c r="A2" s="11" t="inlineStr">
        <is>
          <t>钢材询价表（新兴铸管）</t>
        </is>
      </c>
      <c r="F2" s="513" t="inlineStr">
        <is>
          <t>高线10基价</t>
        </is>
      </c>
      <c r="G2" s="13" t="n"/>
      <c r="H2" s="14" t="n"/>
      <c r="I2" s="15" t="inlineStr">
        <is>
          <t>/</t>
        </is>
      </c>
      <c r="J2" s="14" t="n"/>
      <c r="K2" s="16" t="inlineStr">
        <is>
          <t>/</t>
        </is>
      </c>
      <c r="L2" s="9" t="n"/>
      <c r="M2" s="10" t="n"/>
      <c r="N2" s="9" t="n"/>
    </row>
    <row r="3" ht="14.25" customHeight="1" s="527">
      <c r="F3" s="513" t="inlineStr">
        <is>
          <t>盘螺10基价</t>
        </is>
      </c>
      <c r="I3" s="15" t="inlineStr">
        <is>
          <t>/</t>
        </is>
      </c>
      <c r="J3" s="17" t="n"/>
      <c r="K3" s="16" t="inlineStr">
        <is>
          <t>/</t>
        </is>
      </c>
      <c r="L3" s="9" t="inlineStr">
        <is>
          <t>网价手填</t>
        </is>
      </c>
      <c r="M3" s="10" t="n"/>
      <c r="N3" s="9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13" t="n">
        <v>3430</v>
      </c>
      <c r="H4" s="17" t="n"/>
      <c r="I4" s="15" t="inlineStr">
        <is>
          <t>/</t>
        </is>
      </c>
      <c r="J4" s="17" t="n"/>
      <c r="K4" s="16" t="inlineStr">
        <is>
          <t>/</t>
        </is>
      </c>
      <c r="L4" s="9" t="n"/>
      <c r="M4" s="10" t="n"/>
      <c r="N4" s="9" t="n"/>
    </row>
    <row r="5" ht="14.25" customHeight="1" s="527">
      <c r="E5" s="533" t="n"/>
      <c r="F5" s="21" t="inlineStr">
        <is>
          <t>不开票运费</t>
        </is>
      </c>
      <c r="G5" s="213" t="n"/>
      <c r="H5" s="17" t="n"/>
      <c r="I5" s="15" t="inlineStr">
        <is>
          <t>/</t>
        </is>
      </c>
      <c r="J5" s="22" t="n"/>
      <c r="K5" s="16" t="inlineStr">
        <is>
          <t>/</t>
        </is>
      </c>
      <c r="L5" s="9" t="n"/>
      <c r="M5" s="10" t="n"/>
      <c r="N5" s="9" t="n"/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/>
      <c r="I6" s="15" t="n"/>
      <c r="J6" s="22" t="n"/>
      <c r="K6" s="16" t="inlineStr">
        <is>
          <t>/</t>
        </is>
      </c>
      <c r="L6" s="9" t="n"/>
      <c r="M6" s="10" t="n"/>
      <c r="N6" s="9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5" t="inlineStr">
        <is>
          <t>/</t>
        </is>
      </c>
      <c r="J7" s="22" t="n"/>
      <c r="K7" s="16" t="inlineStr">
        <is>
          <t>/</t>
        </is>
      </c>
      <c r="L7" s="9" t="n"/>
      <c r="M7" s="10" t="n"/>
      <c r="N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3" t="inlineStr">
        <is>
          <t>合肥市场网价</t>
        </is>
      </c>
      <c r="H8" s="25" t="inlineStr">
        <is>
          <t>爱军</t>
        </is>
      </c>
      <c r="I8" s="15" t="inlineStr">
        <is>
          <t>网差</t>
        </is>
      </c>
      <c r="J8" s="25" t="inlineStr">
        <is>
          <t>芜湖鑫盛</t>
        </is>
      </c>
      <c r="K8" s="16" t="inlineStr">
        <is>
          <t>网差</t>
        </is>
      </c>
      <c r="L8" s="376" t="inlineStr">
        <is>
          <t>极差</t>
        </is>
      </c>
      <c r="M8" s="35" t="inlineStr">
        <is>
          <t>极差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3" t="inlineStr">
        <is>
          <t>/</t>
        </is>
      </c>
      <c r="H9" s="21" t="inlineStr">
        <is>
          <t>/</t>
        </is>
      </c>
      <c r="I9" s="15" t="inlineStr">
        <is>
          <t>/</t>
        </is>
      </c>
      <c r="J9" s="21" t="inlineStr">
        <is>
          <t>/</t>
        </is>
      </c>
      <c r="K9" s="16" t="inlineStr">
        <is>
          <t>/</t>
        </is>
      </c>
      <c r="L9" s="9" t="n"/>
      <c r="M9" s="10" t="n"/>
      <c r="N9" s="9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3" t="inlineStr">
        <is>
          <t>/</t>
        </is>
      </c>
      <c r="H10" s="21" t="inlineStr">
        <is>
          <t>/</t>
        </is>
      </c>
      <c r="I10" s="15" t="inlineStr">
        <is>
          <t>/</t>
        </is>
      </c>
      <c r="J10" s="21" t="inlineStr">
        <is>
          <t>/</t>
        </is>
      </c>
      <c r="K10" s="16" t="inlineStr">
        <is>
          <t>/</t>
        </is>
      </c>
      <c r="L10" s="9" t="n"/>
      <c r="M10" s="10" t="n"/>
      <c r="N10" s="9" t="n"/>
      <c r="P10" s="54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3" t="inlineStr">
        <is>
          <t>/</t>
        </is>
      </c>
      <c r="H11" s="21" t="inlineStr">
        <is>
          <t>/</t>
        </is>
      </c>
      <c r="I11" s="15" t="inlineStr">
        <is>
          <t>/</t>
        </is>
      </c>
      <c r="J11" s="21" t="inlineStr">
        <is>
          <t>/</t>
        </is>
      </c>
      <c r="K11" s="16" t="inlineStr">
        <is>
          <t>/</t>
        </is>
      </c>
      <c r="L11" s="9" t="n"/>
      <c r="M11" s="10" t="n"/>
      <c r="N11" s="9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3" t="inlineStr">
        <is>
          <t>/</t>
        </is>
      </c>
      <c r="H12" s="36">
        <f>H3+H6+H7+60</f>
        <v/>
      </c>
      <c r="I12" s="15">
        <f>G12-H12</f>
        <v/>
      </c>
      <c r="J12" s="36">
        <f>J3+J6+J7+200</f>
        <v/>
      </c>
      <c r="K12" s="16">
        <f>G12-J12</f>
        <v/>
      </c>
      <c r="L12" s="376" t="n">
        <v>200</v>
      </c>
      <c r="M12" s="35" t="n">
        <v>60</v>
      </c>
      <c r="N12" s="9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36">
        <f>G3+G6+G7</f>
        <v/>
      </c>
      <c r="H13" s="36">
        <f>H3+H6+H7</f>
        <v/>
      </c>
      <c r="I13" s="15">
        <f>G13-H13</f>
        <v/>
      </c>
      <c r="J13" s="36">
        <f>J3+J6+J7</f>
        <v/>
      </c>
      <c r="K13" s="16">
        <f>G13-J13</f>
        <v/>
      </c>
      <c r="L13" s="376" t="n">
        <v>0</v>
      </c>
      <c r="M13" s="35" t="n">
        <v>0</v>
      </c>
      <c r="N13" s="9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36">
        <f>G3+G6+G7</f>
        <v/>
      </c>
      <c r="H14" s="36">
        <f>H3+H6+H7</f>
        <v/>
      </c>
      <c r="I14" s="15">
        <f>G14-H14</f>
        <v/>
      </c>
      <c r="J14" s="36">
        <f>J3+J6+J7</f>
        <v/>
      </c>
      <c r="K14" s="16">
        <f>G14-J14</f>
        <v/>
      </c>
      <c r="L14" s="376" t="n">
        <v>0</v>
      </c>
      <c r="M14" s="35" t="n">
        <v>0</v>
      </c>
      <c r="N14" s="9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23" t="n"/>
      <c r="H15" s="36" t="n"/>
      <c r="I15" s="15" t="n"/>
      <c r="J15" s="36" t="n"/>
      <c r="K15" s="16" t="n"/>
      <c r="L15" s="376" t="n"/>
      <c r="M15" s="35" t="n"/>
      <c r="N15" s="9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23" t="n"/>
      <c r="H16" s="36">
        <f>H4+H6+H7+60+20+40</f>
        <v/>
      </c>
      <c r="I16" s="15">
        <f>G16-H16</f>
        <v/>
      </c>
      <c r="J16" s="36">
        <f>J4+J6+J7+100</f>
        <v/>
      </c>
      <c r="K16" s="16">
        <f>G16-J16</f>
        <v/>
      </c>
      <c r="L16" s="376" t="n">
        <v>100</v>
      </c>
      <c r="M16" s="35" t="n">
        <v>120</v>
      </c>
      <c r="N16" s="9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23" t="n"/>
      <c r="H17" s="36">
        <f>H4+H6+H7+60+20+40</f>
        <v/>
      </c>
      <c r="I17" s="15">
        <f>G17-H17</f>
        <v/>
      </c>
      <c r="J17" s="36">
        <f>J4+J6+J7+100</f>
        <v/>
      </c>
      <c r="K17" s="16">
        <f>G17-J17</f>
        <v/>
      </c>
      <c r="L17" s="376" t="n">
        <v>100</v>
      </c>
      <c r="M17" s="35" t="n">
        <v>120</v>
      </c>
      <c r="N17" s="9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23" t="n"/>
      <c r="H18" s="36">
        <f>H4+H6+H7+40+10+50</f>
        <v/>
      </c>
      <c r="I18" s="15">
        <f>G18-H18</f>
        <v/>
      </c>
      <c r="J18" s="36">
        <f>J4+J6+J7+40</f>
        <v/>
      </c>
      <c r="K18" s="16">
        <f>G18-J18</f>
        <v/>
      </c>
      <c r="L18" s="376" t="n">
        <v>40</v>
      </c>
      <c r="M18" s="35" t="n">
        <v>100</v>
      </c>
      <c r="N18" s="9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23" t="n"/>
      <c r="H19" s="36">
        <f>H4+H6+H7+40+10+50</f>
        <v/>
      </c>
      <c r="I19" s="15">
        <f>G19-H19</f>
        <v/>
      </c>
      <c r="J19" s="36">
        <f>J4+J6+J7+40</f>
        <v/>
      </c>
      <c r="K19" s="16">
        <f>G19-J19</f>
        <v/>
      </c>
      <c r="L19" s="376" t="n">
        <v>40</v>
      </c>
      <c r="M19" s="35" t="n">
        <v>100</v>
      </c>
      <c r="N19" s="9" t="n">
        <v>2.468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36">
        <f>G4+G6+G7+20</f>
        <v/>
      </c>
      <c r="H20" s="36">
        <f>H4+H6+H7+40+10+50</f>
        <v/>
      </c>
      <c r="I20" s="15">
        <f>G20-H20</f>
        <v/>
      </c>
      <c r="J20" s="36">
        <f>J4+J6+J7</f>
        <v/>
      </c>
      <c r="K20" s="16">
        <f>G20-J20</f>
        <v/>
      </c>
      <c r="L20" s="376" t="n">
        <v>0</v>
      </c>
      <c r="M20" s="35" t="n">
        <v>100</v>
      </c>
      <c r="N20" s="9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36">
        <f>G4+G6+G7+20</f>
        <v/>
      </c>
      <c r="H21" s="36">
        <f>H4+H6+H7+40+10+50</f>
        <v/>
      </c>
      <c r="I21" s="15">
        <f>G21-H21</f>
        <v/>
      </c>
      <c r="J21" s="36">
        <f>J4+J6+J7</f>
        <v/>
      </c>
      <c r="K21" s="16">
        <f>G21-J21</f>
        <v/>
      </c>
      <c r="L21" s="376" t="n">
        <v>0</v>
      </c>
      <c r="M21" s="35" t="n">
        <v>100</v>
      </c>
      <c r="N21" s="9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36">
        <f>G4+G6+G7</f>
        <v/>
      </c>
      <c r="H22" s="36">
        <f>H4+H6+H7</f>
        <v/>
      </c>
      <c r="I22" s="15">
        <f>G22-H22</f>
        <v/>
      </c>
      <c r="J22" s="36">
        <f>J4+J6+J7</f>
        <v/>
      </c>
      <c r="K22" s="16">
        <f>G22-J22</f>
        <v/>
      </c>
      <c r="L22" s="376" t="n">
        <v>0</v>
      </c>
      <c r="M22" s="35" t="n">
        <v>0</v>
      </c>
      <c r="N22" s="9" t="n">
        <v>2.34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36">
        <f>G4+G6+G7</f>
        <v/>
      </c>
      <c r="H23" s="36">
        <f>H4+H6+H7</f>
        <v/>
      </c>
      <c r="I23" s="15">
        <f>G23-H23</f>
        <v/>
      </c>
      <c r="J23" s="36">
        <f>J4+J6+J7</f>
        <v/>
      </c>
      <c r="K23" s="16">
        <f>G23-J23</f>
        <v/>
      </c>
      <c r="L23" s="376" t="n">
        <v>0</v>
      </c>
      <c r="M23" s="35" t="n">
        <v>0</v>
      </c>
      <c r="N23" s="9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36">
        <f>G4+G6+G7+50</f>
        <v/>
      </c>
      <c r="H24" s="36" t="n">
        <v>20</v>
      </c>
      <c r="I24" s="15">
        <f>G24-H24</f>
        <v/>
      </c>
      <c r="J24" s="36">
        <f>J4+J6+J7</f>
        <v/>
      </c>
      <c r="K24" s="16">
        <f>G24-J24</f>
        <v/>
      </c>
      <c r="L24" s="376" t="n">
        <v>0</v>
      </c>
      <c r="M24" s="35" t="n">
        <v>20</v>
      </c>
      <c r="N24" s="9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36">
        <f>G4+G6+G7+50</f>
        <v/>
      </c>
      <c r="H25" s="36">
        <f>H4+H6+H7+20</f>
        <v/>
      </c>
      <c r="I25" s="15">
        <f>G25-H25</f>
        <v/>
      </c>
      <c r="J25" s="36">
        <f>J4+J6+J7</f>
        <v/>
      </c>
      <c r="K25" s="16">
        <f>G25-J25</f>
        <v/>
      </c>
      <c r="L25" s="376" t="n">
        <v>0</v>
      </c>
      <c r="M25" s="35" t="n">
        <v>20</v>
      </c>
      <c r="N25" s="9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36">
        <f>G4+G6+G7+50</f>
        <v/>
      </c>
      <c r="H26" s="36">
        <f>H4+H6+H7+20</f>
        <v/>
      </c>
      <c r="I26" s="15">
        <f>G26-H26</f>
        <v/>
      </c>
      <c r="J26" s="36">
        <f>J4+J6+J7</f>
        <v/>
      </c>
      <c r="K26" s="16">
        <f>G26-J26</f>
        <v/>
      </c>
      <c r="L26" s="376" t="n">
        <v>0</v>
      </c>
      <c r="M26" s="35" t="n">
        <v>20</v>
      </c>
      <c r="N26" s="9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36">
        <f>G4+G6+G7+50</f>
        <v/>
      </c>
      <c r="H27" s="36">
        <f>H4+H6+H7+20</f>
        <v/>
      </c>
      <c r="I27" s="15">
        <f>G27-H27</f>
        <v/>
      </c>
      <c r="J27" s="36">
        <f>J4+J6+J7</f>
        <v/>
      </c>
      <c r="K27" s="16">
        <f>G27-J27</f>
        <v/>
      </c>
      <c r="L27" s="376" t="n">
        <v>0</v>
      </c>
      <c r="M27" s="35" t="n">
        <v>20</v>
      </c>
      <c r="N27" s="9" t="n">
        <v>2.503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6">
        <f>G4+G6+G7+70</f>
        <v/>
      </c>
      <c r="H28" s="36">
        <f>H4+H6+H7+30+20+30</f>
        <v/>
      </c>
      <c r="I28" s="15">
        <f>G28-H28</f>
        <v/>
      </c>
      <c r="J28" s="36">
        <f>J4+J6+J7</f>
        <v/>
      </c>
      <c r="K28" s="16">
        <f>G28-J28</f>
        <v/>
      </c>
      <c r="L28" s="376" t="n">
        <v>0</v>
      </c>
      <c r="M28" s="35" t="n">
        <v>80</v>
      </c>
      <c r="N28" s="9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6">
        <f>G4+G6+G7+70</f>
        <v/>
      </c>
      <c r="H29" s="36">
        <f>H4+H6+H7+30+20+30</f>
        <v/>
      </c>
      <c r="I29" s="15">
        <f>G29-H29</f>
        <v/>
      </c>
      <c r="J29" s="36">
        <f>J4+J6+J7</f>
        <v/>
      </c>
      <c r="K29" s="16">
        <f>G29-J29</f>
        <v/>
      </c>
      <c r="L29" s="376" t="n">
        <v>0</v>
      </c>
      <c r="M29" s="35" t="n">
        <v>80</v>
      </c>
      <c r="N29" s="9" t="n">
        <v>2.31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37" t="inlineStr">
        <is>
          <t xml:space="preserve"> </t>
        </is>
      </c>
      <c r="G30" s="38" t="inlineStr">
        <is>
          <t>/</t>
        </is>
      </c>
      <c r="H30" s="39">
        <f>H4+H6+H7+40+20+20</f>
        <v/>
      </c>
      <c r="I30" s="15">
        <f>G30-H30</f>
        <v/>
      </c>
      <c r="J30" s="36">
        <f>J4+J6+J7+50</f>
        <v/>
      </c>
      <c r="K30" s="16">
        <f>G30-J30</f>
        <v/>
      </c>
      <c r="L30" s="376" t="n">
        <v>50</v>
      </c>
      <c r="M30" s="35" t="n">
        <v>80</v>
      </c>
      <c r="N30" s="9" t="n">
        <v>2.608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37" t="inlineStr">
        <is>
          <t xml:space="preserve"> </t>
        </is>
      </c>
      <c r="G31" s="38" t="inlineStr">
        <is>
          <t>/</t>
        </is>
      </c>
      <c r="H31" s="39">
        <f>H4+H6+H7+40+20+20</f>
        <v/>
      </c>
      <c r="I31" s="15">
        <f>G31-H31</f>
        <v/>
      </c>
      <c r="J31" s="36">
        <f>J4+J6+J7+50</f>
        <v/>
      </c>
      <c r="K31" s="16">
        <f>G31-J31</f>
        <v/>
      </c>
      <c r="L31" s="376" t="n">
        <v>50</v>
      </c>
      <c r="M31" s="35" t="n">
        <v>80</v>
      </c>
      <c r="N31" s="9" t="n">
        <v>2.318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37" t="inlineStr">
        <is>
          <t xml:space="preserve"> </t>
        </is>
      </c>
      <c r="G32" s="38" t="inlineStr">
        <is>
          <t>/</t>
        </is>
      </c>
      <c r="H32" s="39">
        <f>H4+H6+H7+40+20+20</f>
        <v/>
      </c>
      <c r="I32" s="15">
        <f>G32-H32</f>
        <v/>
      </c>
      <c r="J32" s="36">
        <f>J4+J6+J7+50</f>
        <v/>
      </c>
      <c r="K32" s="16">
        <f>G32-J32</f>
        <v/>
      </c>
      <c r="L32" s="376" t="n">
        <v>50</v>
      </c>
      <c r="M32" s="35" t="n">
        <v>80</v>
      </c>
      <c r="N32" s="9" t="n">
        <v>2.272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37" t="inlineStr">
        <is>
          <t xml:space="preserve"> </t>
        </is>
      </c>
      <c r="G33" s="38" t="inlineStr">
        <is>
          <t>/</t>
        </is>
      </c>
      <c r="H33" s="39">
        <f>H4+H6+H7+40+20+20</f>
        <v/>
      </c>
      <c r="I33" s="15">
        <f>G33-H33</f>
        <v/>
      </c>
      <c r="J33" s="36">
        <f>J4+J6+J7+50</f>
        <v/>
      </c>
      <c r="K33" s="16">
        <f>G33-J33</f>
        <v/>
      </c>
      <c r="L33" s="376" t="n">
        <v>50</v>
      </c>
      <c r="M33" s="35" t="n">
        <v>80</v>
      </c>
      <c r="N33" s="9" t="n">
        <v>2.272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7" t="inlineStr">
        <is>
          <t>运费报价单位</t>
        </is>
      </c>
      <c r="G34" s="43" t="n"/>
      <c r="H34" s="44" t="n"/>
      <c r="I34" s="15" t="n"/>
      <c r="J34" s="45" t="n"/>
      <c r="K34" s="16" t="n"/>
      <c r="L34" s="9" t="n"/>
      <c r="M34" s="10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41" t="inlineStr">
        <is>
          <t>不开票运费</t>
        </is>
      </c>
      <c r="G35" s="43" t="n"/>
      <c r="H35" s="47" t="n"/>
      <c r="I35" s="15" t="n"/>
      <c r="J35" s="48" t="n"/>
      <c r="K35" s="16" t="n"/>
      <c r="L35" s="9" t="n"/>
      <c r="M35" s="10" t="n"/>
      <c r="N35" s="9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  <c r="L180" s="419" t="n"/>
      <c r="M180" s="419" t="n"/>
      <c r="N180" s="419" t="n"/>
    </row>
    <row r="181">
      <c r="G181" s="440" t="n"/>
      <c r="L181" s="419" t="n"/>
      <c r="M181" s="419" t="n"/>
      <c r="N181" s="419" t="n"/>
    </row>
    <row r="182">
      <c r="G182" s="440" t="n"/>
      <c r="L182" s="419" t="n"/>
      <c r="M182" s="419" t="n"/>
      <c r="N182" s="419" t="n"/>
    </row>
    <row r="183">
      <c r="G183" s="440" t="n"/>
      <c r="L183" s="419" t="n"/>
      <c r="M183" s="419" t="n"/>
      <c r="N183" s="419" t="n"/>
    </row>
    <row r="184">
      <c r="G184" s="440" t="n"/>
      <c r="L184" s="419" t="n"/>
      <c r="M184" s="419" t="n"/>
      <c r="N184" s="419" t="n"/>
    </row>
    <row r="185">
      <c r="G185" s="440" t="n"/>
      <c r="L185" s="419" t="n"/>
      <c r="M185" s="419" t="n"/>
      <c r="N185" s="419" t="n"/>
    </row>
    <row r="186">
      <c r="G186" s="440" t="n"/>
      <c r="L186" s="419" t="n"/>
      <c r="M186" s="419" t="n"/>
      <c r="N186" s="419" t="n"/>
    </row>
    <row r="187">
      <c r="G187" s="440" t="n"/>
      <c r="L187" s="419" t="n"/>
      <c r="M187" s="419" t="n"/>
      <c r="N187" s="419" t="n"/>
    </row>
    <row r="188">
      <c r="G188" s="440" t="n"/>
      <c r="L188" s="419" t="n"/>
      <c r="M188" s="419" t="n"/>
      <c r="N188" s="419" t="n"/>
    </row>
    <row r="189">
      <c r="G189" s="440" t="n"/>
      <c r="L189" s="419" t="n"/>
      <c r="M189" s="419" t="n"/>
      <c r="N189" s="419" t="n"/>
    </row>
    <row r="190">
      <c r="G190" s="440" t="n"/>
      <c r="L190" s="419" t="n"/>
      <c r="M190" s="419" t="n"/>
      <c r="N190" s="419" t="n"/>
    </row>
    <row r="191">
      <c r="G191" s="440" t="n"/>
      <c r="L191" s="419" t="n"/>
      <c r="M191" s="419" t="n"/>
      <c r="N191" s="419" t="n"/>
    </row>
    <row r="192">
      <c r="G192" s="440" t="n"/>
      <c r="L192" s="419" t="n"/>
      <c r="M192" s="419" t="n"/>
      <c r="N192" s="419" t="n"/>
    </row>
    <row r="193">
      <c r="G193" s="440" t="n"/>
      <c r="L193" s="419" t="n"/>
      <c r="M193" s="419" t="n"/>
      <c r="N193" s="419" t="n"/>
    </row>
    <row r="194">
      <c r="G194" s="440" t="n"/>
      <c r="L194" s="419" t="n"/>
      <c r="M194" s="419" t="n"/>
      <c r="N194" s="419" t="n"/>
    </row>
    <row r="195">
      <c r="G195" s="440" t="n"/>
      <c r="L195" s="419" t="n"/>
      <c r="M195" s="419" t="n"/>
      <c r="N195" s="419" t="n"/>
    </row>
    <row r="196">
      <c r="G196" s="440" t="n"/>
      <c r="L196" s="419" t="n"/>
      <c r="M196" s="419" t="n"/>
      <c r="N196" s="419" t="n"/>
    </row>
    <row r="197">
      <c r="G197" s="440" t="n"/>
      <c r="L197" s="419" t="n"/>
      <c r="M197" s="419" t="n"/>
      <c r="N197" s="419" t="n"/>
    </row>
    <row r="198">
      <c r="G198" s="440" t="n"/>
      <c r="L198" s="419" t="n"/>
      <c r="M198" s="419" t="n"/>
      <c r="N198" s="419" t="n"/>
    </row>
    <row r="199">
      <c r="G199" s="440" t="n"/>
      <c r="L199" s="419" t="n"/>
      <c r="M199" s="419" t="n"/>
      <c r="N199" s="419" t="n"/>
    </row>
    <row r="200">
      <c r="G200" s="440" t="n"/>
      <c r="L200" s="419" t="n"/>
      <c r="M200" s="419" t="n"/>
      <c r="N200" s="419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2026-04-24T10:45:00Z</dcterms:created>
  <dcterms:modified xmlns:dcterms="http://purl.org/dc/terms/" xmlns:xsi="http://www.w3.org/2001/XMLSchema-instance" xsi:type="dcterms:W3CDTF">2026-05-06T01:03:10Z</dcterms:modified>
  <cp:lastModifiedBy>卢银平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DE31B8C5F9CB4815B05B79395CD0B9E3_12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