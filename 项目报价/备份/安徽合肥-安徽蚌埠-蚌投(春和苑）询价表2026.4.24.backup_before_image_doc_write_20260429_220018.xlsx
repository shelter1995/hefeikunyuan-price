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7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</fonts>
  <fills count="4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3" fillId="45" borderId="5" applyAlignment="1" pivotButton="0" quotePrefix="0" xfId="0">
      <alignment horizontal="center" vertical="center"/>
    </xf>
    <xf numFmtId="0" fontId="3" fillId="47" borderId="5" applyAlignment="1" pivotButton="0" quotePrefix="0" xfId="0">
      <alignment horizontal="center" vertical="center"/>
    </xf>
    <xf numFmtId="0" fontId="3" fillId="46" borderId="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552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450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450">
        <f>徐钢!H16</f>
        <v/>
      </c>
      <c r="Q16" s="450">
        <f>徐钢!I16</f>
        <v/>
      </c>
      <c r="R16" s="552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450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450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457">
        <f>徐钢!H17</f>
        <v/>
      </c>
      <c r="Q17" s="450">
        <f>徐钢!I17</f>
        <v/>
      </c>
      <c r="R17" s="552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450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457">
        <f>徐钢!H18</f>
        <v/>
      </c>
      <c r="Q18" s="450">
        <f>徐钢!I18</f>
        <v/>
      </c>
      <c r="R18" s="553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450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450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450">
        <f>徐钢!H19</f>
        <v/>
      </c>
      <c r="Q19" s="450">
        <f>徐钢!I19</f>
        <v/>
      </c>
      <c r="R19" s="554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450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450">
        <f>徐钢!H20</f>
        <v/>
      </c>
      <c r="Q20" s="450">
        <f>徐钢!I20</f>
        <v/>
      </c>
      <c r="R20" s="552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450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552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450">
        <f>徐钢!H22</f>
        <v/>
      </c>
      <c r="Q22" s="450">
        <f>徐钢!I22</f>
        <v/>
      </c>
      <c r="R22" s="552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450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450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457">
        <f>徐钢!H26</f>
        <v/>
      </c>
      <c r="Q26" s="450">
        <f>徐钢!I26</f>
        <v/>
      </c>
      <c r="R26" s="552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450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450">
        <f>徐钢!H27</f>
        <v/>
      </c>
      <c r="Q27" s="450">
        <f>徐钢!I27</f>
        <v/>
      </c>
      <c r="R27" s="552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450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450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450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450">
        <f>徐钢!H29</f>
        <v/>
      </c>
      <c r="Q29" s="450">
        <f>徐钢!I29</f>
        <v/>
      </c>
      <c r="R29" s="552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450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552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450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450">
        <f>徐钢!H31</f>
        <v/>
      </c>
      <c r="Q31" s="450">
        <f>徐钢!I31</f>
        <v/>
      </c>
      <c r="R31" s="552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450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552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450">
        <f>徐钢!H33</f>
        <v/>
      </c>
      <c r="Q33" s="450">
        <f>徐钢!I33</f>
        <v/>
      </c>
      <c r="R33" s="552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网价[2026-04-29]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3540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3360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5" t="inlineStr">
        <is>
          <t>网价[2026-04-29]</t>
        </is>
      </c>
      <c r="H1" s="349" t="n">
        <v>1</v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245" t="n">
        <v>3530</v>
      </c>
      <c r="H3" s="385" t="n">
        <v>3335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245" t="n">
        <v>3400</v>
      </c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网价[2026-04-29]</t>
        </is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245" t="n">
        <v>3630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3390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5" t="inlineStr">
        <is>
          <t>网价[2026-04-29]</t>
        </is>
      </c>
      <c r="H1" s="349" t="n">
        <v>1</v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245" t="n">
        <v>3560</v>
      </c>
      <c r="H3" s="354" t="n">
        <v>3370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3380</v>
      </c>
      <c r="H4" s="354" t="n">
        <v>3190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7" t="inlineStr">
        <is>
          <t>网价[2026-04-29]</t>
        </is>
      </c>
      <c r="H1" s="338" t="n">
        <v>1</v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309" t="n">
        <v>3560</v>
      </c>
      <c r="H3" s="310" t="n"/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309" t="n">
        <v>3360</v>
      </c>
      <c r="H4" s="310" t="n"/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48" t="inlineStr">
        <is>
          <t>网价[2026-04-29]</t>
        </is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309" t="n">
        <v>3590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309" t="n">
        <v>3360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网价[2026-04-29]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80" t="n">
        <v>3360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5" t="inlineStr">
        <is>
          <t>网价[2026-04-29]</t>
        </is>
      </c>
      <c r="H1" s="230" t="inlineStr">
        <is>
          <t>铁山/金强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245" t="n">
        <v>3640</v>
      </c>
      <c r="H3" s="244" t="n"/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245" t="n">
        <v>3400</v>
      </c>
      <c r="H4" s="244" t="n"/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9" t="inlineStr">
        <is>
          <t>网价[2026-04-29]</t>
        </is>
      </c>
      <c r="H1" s="203" t="n">
        <v>1</v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208" t="n">
        <v>3560</v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09" t="n">
        <v>3360</v>
      </c>
      <c r="H4" s="210" t="n"/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7" t="inlineStr">
        <is>
          <t>网价[2026-04-29]</t>
        </is>
      </c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3670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3440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网价[2026-04-29]</t>
        </is>
      </c>
      <c r="H1" s="165" t="n">
        <v>1</v>
      </c>
      <c r="I1" s="550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23" t="n">
        <v>3550</v>
      </c>
      <c r="H3" s="17" t="n"/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3" t="n">
        <v>3360</v>
      </c>
      <c r="H4" s="17" t="n"/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网价[2026-04-29]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280" t="n">
        <v>3740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3470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280" t="n"/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/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网价[2026-04-29]</t>
        </is>
      </c>
      <c r="H1" s="57" t="inlineStr">
        <is>
          <t>填写抗震基价</t>
        </is>
      </c>
      <c r="I1" s="542" t="n"/>
      <c r="J1" s="58" t="n"/>
      <c r="K1" s="551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64" t="n">
        <v>3600</v>
      </c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64" t="n">
        <v>3400</v>
      </c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tabColor rgb="FFFF0000"/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13" t="n"/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2026-04-29T14:00:16Z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