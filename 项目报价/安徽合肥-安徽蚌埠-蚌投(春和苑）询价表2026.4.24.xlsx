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8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  <font>
      <color rgb="FFFF0000"/>
    </font>
  </fonts>
  <fills count="4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6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0" fontId="57" fillId="11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57" fillId="9" borderId="1" applyAlignment="1" pivotButton="0" quotePrefix="0" xfId="0">
      <alignment horizontal="center" vertical="center" wrapText="1"/>
    </xf>
    <xf numFmtId="165" fontId="13" fillId="9" borderId="1" applyAlignment="1" pivotButton="0" quotePrefix="0" xfId="0">
      <alignment horizontal="center" vertical="center"/>
    </xf>
    <xf numFmtId="0" fontId="57" fillId="8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/>
    </xf>
    <xf numFmtId="0" fontId="57" fillId="4" borderId="1" applyAlignment="1" pivotButton="0" quotePrefix="0" xfId="0">
      <alignment horizontal="center" vertical="center"/>
    </xf>
    <xf numFmtId="0" fontId="57" fillId="1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57" fillId="2" borderId="1" applyAlignment="1" pivotButton="0" quotePrefix="0" xfId="0">
      <alignment horizontal="center" vertical="center"/>
    </xf>
    <xf numFmtId="0" fontId="0" fillId="0" borderId="16" pivotButton="0" quotePrefix="0" xfId="0"/>
    <xf numFmtId="0" fontId="57" fillId="5" borderId="1" applyAlignment="1" pivotButton="0" quotePrefix="0" xfId="0">
      <alignment horizontal="center" vertical="center" wrapText="1"/>
    </xf>
    <xf numFmtId="0" fontId="57" fillId="9" borderId="5" applyAlignment="1" pivotButton="0" quotePrefix="0" xfId="0">
      <alignment horizontal="center" vertical="center"/>
    </xf>
    <xf numFmtId="0" fontId="57" fillId="11" borderId="5" applyAlignment="1" pivotButton="0" quotePrefix="0" xfId="0">
      <alignment horizontal="center" vertical="center"/>
    </xf>
    <xf numFmtId="0" fontId="57" fillId="4" borderId="5" applyAlignment="1" pivotButton="0" quotePrefix="0" xfId="0">
      <alignment horizontal="center" vertical="center"/>
    </xf>
    <xf numFmtId="0" fontId="57" fillId="0" borderId="6" applyAlignment="1" pivotButton="0" quotePrefix="0" xfId="0">
      <alignment horizontal="center" vertical="center"/>
    </xf>
    <xf numFmtId="0" fontId="3" fillId="45" borderId="5" applyAlignment="1" pivotButton="0" quotePrefix="0" xfId="0">
      <alignment horizontal="center" vertical="center"/>
    </xf>
    <xf numFmtId="0" fontId="15" fillId="45" borderId="5" applyAlignment="1" pivotButton="0" quotePrefix="0" xfId="0">
      <alignment horizontal="center" vertical="center"/>
    </xf>
    <xf numFmtId="0" fontId="3" fillId="47" borderId="5" applyAlignment="1" pivotButton="0" quotePrefix="0" xfId="0">
      <alignment horizontal="center" vertical="center"/>
    </xf>
    <xf numFmtId="0" fontId="3" fillId="46" borderId="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563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563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563">
        <f>徐钢!H16</f>
        <v/>
      </c>
      <c r="Q16" s="450">
        <f>徐钢!I16</f>
        <v/>
      </c>
      <c r="R16" s="563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563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563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564">
        <f>徐钢!H17</f>
        <v/>
      </c>
      <c r="Q17" s="450">
        <f>徐钢!I17</f>
        <v/>
      </c>
      <c r="R17" s="563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563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564">
        <f>徐钢!H18</f>
        <v/>
      </c>
      <c r="Q18" s="450">
        <f>徐钢!I18</f>
        <v/>
      </c>
      <c r="R18" s="565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563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563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563">
        <f>徐钢!H19</f>
        <v/>
      </c>
      <c r="Q19" s="450">
        <f>徐钢!I19</f>
        <v/>
      </c>
      <c r="R19" s="566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563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563">
        <f>徐钢!H20</f>
        <v/>
      </c>
      <c r="Q20" s="450">
        <f>徐钢!I20</f>
        <v/>
      </c>
      <c r="R20" s="563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563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563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563">
        <f>徐钢!H22</f>
        <v/>
      </c>
      <c r="Q22" s="450">
        <f>徐钢!I22</f>
        <v/>
      </c>
      <c r="R22" s="563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563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563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564">
        <f>徐钢!H26</f>
        <v/>
      </c>
      <c r="Q26" s="450">
        <f>徐钢!I26</f>
        <v/>
      </c>
      <c r="R26" s="563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563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563">
        <f>徐钢!H27</f>
        <v/>
      </c>
      <c r="Q27" s="450">
        <f>徐钢!I27</f>
        <v/>
      </c>
      <c r="R27" s="563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563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563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563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563">
        <f>徐钢!H29</f>
        <v/>
      </c>
      <c r="Q29" s="450">
        <f>徐钢!I29</f>
        <v/>
      </c>
      <c r="R29" s="563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563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563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563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563">
        <f>徐钢!H31</f>
        <v/>
      </c>
      <c r="Q31" s="450">
        <f>徐钢!I31</f>
        <v/>
      </c>
      <c r="R31" s="563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563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563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563">
        <f>徐钢!H33</f>
        <v/>
      </c>
      <c r="Q33" s="450">
        <f>徐钢!I33</f>
        <v/>
      </c>
      <c r="R33" s="563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网价[2026-05-12]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544" t="n">
        <v>3640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44" t="n">
        <v>3450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6" t="inlineStr">
        <is>
          <t>网价[2026-05-12]</t>
        </is>
      </c>
      <c r="H1" s="349" t="inlineStr">
        <is>
          <t>报价[2026-04-23]</t>
        </is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544" t="n">
        <v>3630</v>
      </c>
      <c r="H3" s="559" t="n">
        <v>3355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544" t="n">
        <v>3490</v>
      </c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7" t="inlineStr">
        <is>
          <t>网价[2026-05-12]</t>
        </is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544" t="n">
        <v>3710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44" t="n">
        <v>3470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6" t="inlineStr">
        <is>
          <t>网价[2026-05-12]</t>
        </is>
      </c>
      <c r="H1" s="349" t="inlineStr">
        <is>
          <t>报价[2026-04-13]</t>
        </is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544" t="n">
        <v>3660</v>
      </c>
      <c r="H3" s="560" t="n">
        <v>3320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44" t="n">
        <v>3470</v>
      </c>
      <c r="H4" s="560" t="n">
        <v>3140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8" t="inlineStr">
        <is>
          <t>网价[2026-05-12]</t>
        </is>
      </c>
      <c r="H1" s="338" t="inlineStr">
        <is>
          <t>报价[2026-04-21]</t>
        </is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549" t="n">
        <v>3660</v>
      </c>
      <c r="H3" s="559" t="n">
        <v>3415</v>
      </c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549" t="n">
        <v>3450</v>
      </c>
      <c r="H4" s="559" t="n">
        <v>3195</v>
      </c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50" t="inlineStr">
        <is>
          <t>网价[2026-05-12]</t>
        </is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549" t="n">
        <v>3670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549" t="n">
        <v>3440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网价[2026-05-12]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551" t="n">
        <v>3450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网价[2026-05-12]</t>
        </is>
      </c>
      <c r="H1" s="230" t="inlineStr">
        <is>
          <t>报价[2026-05-13]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544" t="n">
        <v>3720</v>
      </c>
      <c r="H3" s="559" t="n">
        <v>3455</v>
      </c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544" t="n">
        <v>3480</v>
      </c>
      <c r="H4" s="559" t="n">
        <v>3195</v>
      </c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52" t="inlineStr">
        <is>
          <t>网价[2026-05-12]</t>
        </is>
      </c>
      <c r="H1" s="203" t="inlineStr">
        <is>
          <t>报价[2026-04-21]</t>
        </is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553" t="n">
        <v>3660</v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554" t="n">
        <v>3450</v>
      </c>
      <c r="H4" s="561" t="n">
        <v>3200</v>
      </c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8" t="inlineStr">
        <is>
          <t>网价[2026-05-12]</t>
        </is>
      </c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544" t="n">
        <v>3760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44" t="n">
        <v>3510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网价[2026-05-12]</t>
        </is>
      </c>
      <c r="H1" s="165" t="inlineStr">
        <is>
          <t>报价[2026-04-24]</t>
        </is>
      </c>
      <c r="I1" s="555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556" t="n">
        <v>3650</v>
      </c>
      <c r="H3" s="562" t="n">
        <v>3360</v>
      </c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56" t="n">
        <v>3450</v>
      </c>
      <c r="H4" s="562" t="n">
        <v>3180</v>
      </c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网价[2026-05-12]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551" t="n">
        <v>3840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51" t="n">
        <v>3540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网价[2026-05-12]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551" t="n">
        <v>3650</v>
      </c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51" t="n">
        <v>3460</v>
      </c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网价[2026-05-12]</t>
        </is>
      </c>
      <c r="H1" s="57" t="inlineStr">
        <is>
          <t>填写抗震基价</t>
        </is>
      </c>
      <c r="I1" s="542" t="n"/>
      <c r="J1" s="58" t="n"/>
      <c r="K1" s="557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558" t="n">
        <v>3680</v>
      </c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58" t="n">
        <v>3480</v>
      </c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tabColor rgb="FFFF0000"/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网价[2026-05-12]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13" t="n"/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2026-05-12T16:35:12Z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